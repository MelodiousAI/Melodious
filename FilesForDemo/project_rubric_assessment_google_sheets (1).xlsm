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structions" sheetId="1" r:id="rId4"/>
    <sheet state="visible" name="Gradebook" sheetId="2" r:id="rId5"/>
    <sheet state="visible" name="Rubric_Guide" sheetId="3" r:id="rId6"/>
  </sheets>
  <definedNames/>
  <calcPr/>
  <extLst>
    <ext uri="GoogleSheetsCustomDataVersion2">
      <go:sheetsCustomData xmlns:go="http://customooxmlschemas.google.com/" r:id="rId7" roundtripDataChecksum="H1x/Pk+5LpIgYCBddwJjIhqr30lqAT9rW9fbFV3gHo4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V2">
      <text>
        <t xml:space="preserve">======
ID#AAAB3DoWdYY
OpenAI    (2026-04-06 07:57:28)
CI4 | Purposeful extra technical features or polish
Applies to: All
0 = Extras are absent or gimmicky.
1 = Extras exist, but are weakly integrated.
2 = Extra technical features or polish are purposeful and well integrated.
Announcement basis: Prior rubric: extra technical features, polished design.</t>
      </text>
    </comment>
    <comment authorId="0" ref="V2">
      <text>
        <t xml:space="preserve">======
ID#AAAB3DoWdYU
OpenAI    (2026-04-06 07:57:28)
TM6 | Error analysis and failure cases
Applies to: All
0 = No real error analysis or failure cases are shown.
1 = Some errors/examples are shown, but the analysis is shallow.
2 = Concrete failure modes are analyzed and connected to model behavior.
Announcement basis: Option A technical requirements: error analysis and failure cases. Critical thinking criterion.</t>
      </text>
    </comment>
    <comment authorId="0" ref="H2">
      <text>
        <t xml:space="preserve">======
ID#AAAB3DoWdYQ
OpenAI    (2026-04-06 07:57:28)
Use for quick evidence notes, dispute-protection notes, or reminders for follow-up.</t>
      </text>
    </comment>
    <comment authorId="0" ref="BH2">
      <text>
        <t xml:space="preserve">======
ID#AAAB3DoWdYI
OpenAI    (2026-04-06 07:57:28)
Auto-scaled category score out of 10 for Creativity &amp; Initiative.</t>
      </text>
    </comment>
    <comment authorId="0" ref="BJ2">
      <text>
        <t xml:space="preserve">======
ID#AAAB3DoWdYM
OpenAI    (2026-04-06 07:57:28)
Bonus out of +3. Formula: (BX1 + BX2 + BX3) / 2.</t>
      </text>
    </comment>
    <comment authorId="0" ref="J2">
      <text>
        <t xml:space="preserve">======
ID#AAAB3DoWdYE
OpenAI    (2026-04-06 07:57:28)
PF2A | A: user / decision / deployer / payer
Applies to: Option A only
0 = No clear user, decision being automated/augmented, deployer, or payer.
1 = Some stakeholders are mentioned, but deployment or use context is incomplete.
2 = Clearly identifies the user, the decision being automated/augmented, and a realistic deployer or payer.
Announcement basis: Option A mandatory requirements: define decision, who would deploy/pay.</t>
      </text>
    </comment>
    <comment authorId="0" ref="AC2">
      <text>
        <t xml:space="preserve">======
ID#AAAB3DoWdYA
OpenAI    (2026-04-06 07:57:28)
RM3 | Privacy / data leakage risks
Applies to: All
0 = Not addressed.
1 = Risk is acknowledged, but no concrete handling is shown.
2 = A concrete privacy or leakage risk is identified and addressed with checks or design decisions.
Announcement basis: Responsible ML requirement: privacy or data leakage risks.</t>
      </text>
    </comment>
    <comment authorId="0" ref="AX2">
      <text>
        <t xml:space="preserve">======
ID#AAAB3DoWdX8
OpenAI    (2026-04-06 07:57:28)
BX2 | Responsible ML materially beyond minimum
Applies to: Optional bonus
0 = Only meets the minimum Responsible ML requirement or duplicates base-rubric work.
1 = Goes somewhat beyond minimum with at least one extra check, tool, or experiment.
2 = Materially exceeds minimum with strong additional analysis/tooling across responsible ML dimensions.
Announcement basis: Optional bonus aligned with responsible ML depth; do not double count minimum required work.</t>
      </text>
    </comment>
    <comment authorId="0" ref="AY2">
      <text>
        <t xml:space="preserve">======
ID#AAAB3DoWdX0
OpenAI    (2026-04-06 07:57:28)
BX3 | Exceptional extension beyond the base rubric
Applies to: Optional bonus
0 = No exceptional extension beyond the base rubric.
1 = One standout extension exists, but depth is moderate.
2 = Exceptional extension such as strong ablations, benchmark release, advanced tooling, or unusual production polish.
Announcement basis: Prior bonus idea: extra-mile work beyond base requirements.</t>
      </text>
    </comment>
    <comment authorId="0" ref="BF2">
      <text>
        <t xml:space="preserve">======
ID#AAAB3DoWdX4
OpenAI    (2026-04-06 07:57:28)
Auto-scaled category score out of 10 for GitHub &amp; Documentation.</t>
      </text>
    </comment>
    <comment authorId="0" ref="AE2">
      <text>
        <t xml:space="preserve">======
ID#AAAB3DoWdXw
OpenAI    (2026-04-06 07:57:28)
EN1 | Working Dockerized API
Applies to: All
0 = No working Dockerized API.
1 = Partial API or Docker setup exists, but it is not reliably runnable end-to-end.
2 = Working Dockerized API with a clear run path.
Announcement basis: Option A production requirement + final deliverable: running API.</t>
      </text>
    </comment>
    <comment authorId="0" ref="AF2">
      <text>
        <t xml:space="preserve">======
ID#AAAB3DoWdXo
OpenAI    (2026-04-06 07:57:28)
EN2 | Separation of data processing, model logic, and serving
Applies to: All
0 = Code is monolithic or the boundaries are tangled.
1 = Some separation exists, but boundaries are unclear.
2 = Clear separation between data processing, model logic, and serving.
Announcement basis: Option A production requirement: clear separation between data processing, model logic, and serving.</t>
      </text>
    </comment>
    <comment authorId="0" ref="AZ2">
      <text>
        <t xml:space="preserve">======
ID#AAAB3DoWdXs
OpenAI    (2026-04-06 07:57:28)
How many base-rubric cells should be scored, based on Type and Graph columns. Bonus cells are excluded.</t>
      </text>
    </comment>
    <comment authorId="0" ref="AQ2">
      <text>
        <t xml:space="preserve">======
ID#AAAB3DoWdXg
OpenAI    (2026-04-06 07:57:28)
PR3 | Results, demo, and visuals
Applies to: All
0 = Demo/results are unclear, unreadable, or misleading.
1 = Some useful visuals/results are shown, but not fully clear.
2 = Results/demo visuals are clear, relevant, and honest about performance.
Announcement basis: Presentation expectations: evaluation, UI, results.</t>
      </text>
    </comment>
    <comment authorId="0" ref="BK2">
      <text>
        <t xml:space="preserve">======
ID#AAAB3DoWdXk
OpenAI    (2026-04-06 07:57:28)
Final percentage = Base grade + Bonus.</t>
      </text>
    </comment>
    <comment authorId="0" ref="I2">
      <text>
        <t xml:space="preserve">======
ID#AAAB3DoWdXc
OpenAI    (2026-04-06 07:57:28)
PF1 | Specific problem / question
Applies to: All
0 = Problem or research question is vague, too broad, or not testable/measurable.
1 = A problem/question exists, but scope, target, or success criterion is still fuzzy.
2 = Problem/question is specific, scoped, and measurable; inputs, outputs, and objective are clear.
Announcement basis: General ML requirement: clear problem formulation. Evaluation criterion 1: realism, clarity, relevance.</t>
      </text>
    </comment>
    <comment authorId="0" ref="BN2">
      <text>
        <t xml:space="preserve">======
ID#AAAB3DoWdXY
OpenAI    (2026-04-06 07:57:28)
Checks graph-specific hard requirements when Graph? = Y.</t>
      </text>
    </comment>
    <comment authorId="0" ref="N2">
      <text>
        <t xml:space="preserve">======
ID#AAAB3DoWdXU
OpenAI    (2026-04-06 07:57:28)
PF4 | Real-world impact or scientific significance
Applies to: All
0 = Importance is asserted only, with no credible evidence or reasoning.
1 = Relevance is described, but evidence, constraints, or stakes are still weak.
2 = Importance, constraints, and likely impact/significance are supported with evidence or credible domain reasoning.
Announcement basis: Option A: real-world problem and market/pain point. Option B: inherently research-driven and significant.</t>
      </text>
    </comment>
    <comment authorId="0" ref="A2">
      <text>
        <t xml:space="preserve">======
ID#AAAB3DoWdXQ
OpenAI    (2026-04-06 07:57:28)
Optional project index or grading order.</t>
      </text>
    </comment>
    <comment authorId="0" ref="AA2">
      <text>
        <t xml:space="preserve">======
ID#AAAB3DoWdXI
OpenAI    (2026-04-06 07:57:28)
RM1 | Explainability / interpretability
Applies to: All
0 = Not addressed.
1 = Mentioned or lightly demonstrated, but without real insight.
2 = Meaningfully addressed with an interpretation or explainability method tied to decisions/errors.
Announcement basis: Responsible ML requirement: explainability or interpretability.</t>
      </text>
    </comment>
    <comment authorId="0" ref="BO2">
      <text>
        <t xml:space="preserve">======
ID#AAAB3DoWdXM
OpenAI    (2026-04-06 07:57:28)
Overall quick review flag.</t>
      </text>
    </comment>
    <comment authorId="0" ref="AK2">
      <text>
        <t xml:space="preserve">======
ID#AAAB3DoWdXA
OpenAI    (2026-04-06 07:57:28)
GD2 | README with setup, run, usage
Applies to: All
0 = README is missing or insufficient for setup/run.
1 = README exists, but key setup, run, or usage details are missing.
2 = README clearly covers setup, run, usage, and quick start.
Announcement basis: Prior rubric: README with installation steps and usage examples.</t>
      </text>
    </comment>
    <comment authorId="0" ref="BM2">
      <text>
        <t xml:space="preserve">======
ID#AAAB3DoWdXE
OpenAI    (2026-04-06 07:57:28)
Checks essential type-specific mandatory requirements from the announcement.</t>
      </text>
    </comment>
    <comment authorId="0" ref="BD2">
      <text>
        <t xml:space="preserve">======
ID#AAAB3DoWdW8
OpenAI    (2026-04-06 07:57:28)
Auto-scaled category score out of 10 for Technical Rigor &amp; Responsible ML.</t>
      </text>
    </comment>
    <comment authorId="0" ref="Y2">
      <text>
        <t xml:space="preserve">======
ID#AAAB3DoWdW0
OpenAI    (2026-04-06 07:57:28)
TM9G | Graph is a core modeling object
Applies to: Graph projects only
0 = Graph is only used for visualization/storage, or nodes/edges/relations are not clearly defined.
1 = Graph has some modeling role, but representation is incomplete or weakly justified.
2 = Graph is a core modeling object with clear nodes, edges, and relations.
Announcement basis: Additional requirement for graph-based projects: graph must be core object; define nodes/edges/relations.</t>
      </text>
    </comment>
    <comment authorId="0" ref="BB2">
      <text>
        <t xml:space="preserve">======
ID#AAAB3DoWdW4
OpenAI    (2026-04-06 07:57:28)
How many applicable base-rubric cells are still blank.</t>
      </text>
    </comment>
    <comment authorId="0" ref="K2">
      <text>
        <t xml:space="preserve">======
ID#AAAB3DoWdWs
OpenAI    (2026-04-06 07:57:28)
PF2B | B: research question + target venue/benchmark
Applies to: Option B only
0 = Research question or target venue/benchmark is missing.
1 = Both are mentioned, but the match is weak, vague, or under-justified.
2 = Clear research question and an appropriate target venue/benchmark are explicitly stated.
Announcement basis: Option B mandatory conditions: research question and target venue.</t>
      </text>
    </comment>
    <comment authorId="0" ref="BG2">
      <text>
        <t xml:space="preserve">======
ID#AAAB3DoWdWw
OpenAI    (2026-04-06 07:57:28)
Auto-scaled category score out of 10 for Presentation.</t>
      </text>
    </comment>
    <comment authorId="0" ref="AO2">
      <text>
        <t xml:space="preserve">======
ID#AAAB3DoWdWo
OpenAI    (2026-04-06 07:57:28)
PR1 | Problem framing and motivation clarity
Applies to: All
0 = Audience cannot tell what the project is solving or why it matters.
1 = Problem is stated, but value/motivation is not crisp.
2 = Problem and motivation are immediately clear.
Announcement basis: Poster/final presentation expectations: problem definition.</t>
      </text>
    </comment>
    <comment authorId="0" ref="AG2">
      <text>
        <t xml:space="preserve">======
ID#AAAB3DoWdWk
OpenAI    (2026-04-06 07:57:28)
EN3 | Reproducible environment and run path
Applies to: All
0 = Project cannot be reliably reproduced or rerun.
1 = Some instructions/env files exist, but reproduction is incomplete or fragile.
2 = Environment, versions, seeds/checkpoints, and instructions make reruns straightforward.
Announcement basis: Production requirement: reproducible experiments.</t>
      </text>
    </comment>
    <comment authorId="0" ref="AB2">
      <text>
        <t xml:space="preserve">======
ID#AAAB3DoWdWg
OpenAI    (2026-04-06 07:57:28)
RM2 | Bias / fairness
Applies to: All
0 = Not addressed.
1 = Bias/fairness risks are mentioned, but no concrete check is shown.
2 = A concrete fairness concern is identified and evaluated or mitigated.
Announcement basis: Responsible ML requirement: bias or fairness concerns.</t>
      </text>
    </comment>
    <comment authorId="0" ref="AS2">
      <text>
        <t xml:space="preserve">======
ID#AAAB3DoWdWc
OpenAI    (2026-04-06 07:57:28)
CI1 | Originality of idea or research angle
Applies to: All
0 = Very derivative, with no meaningful original angle.
1 = Some novelty in framing or combination exists, but originality is limited.
2 = Clear original angle in idea, framing, or research question.
Announcement basis: Prior rubric: novelty / innovation.</t>
      </text>
    </comment>
    <comment authorId="0" ref="AR2">
      <text>
        <t xml:space="preserve">======
ID#AAAB3DoWdWY
OpenAI    (2026-04-06 07:57:28)
PR4 | Q&amp;A and project ownership
Applies to: All
0 = Team cannot answer basic technical questions.
1 = Team answers some questions, but shows important gaps or avoidance.
2 = Team answers questions directly and shows strong project ownership.
Announcement basis: Final presentation: 5 minutes + Q&amp;A.</t>
      </text>
    </comment>
    <comment authorId="0" ref="R2">
      <text>
        <t xml:space="preserve">======
ID#AAAB3DoWdWU
OpenAI    (2026-04-06 07:57:28)
TM2B | B: baseline or prior-work comparison
Applies to: Option B only
0 = No meaningful baseline or prior-work comparison is provided.
1 = A comparison exists, but it is weak, incomplete, or not quite fair.
2 = Strong, fair comparison to appropriate baseline(s) or prior work on the same task/data.
Announcement basis: General ML requirements: baseline comparison. Research expectation: competitive experimental grounding.</t>
      </text>
    </comment>
    <comment authorId="0" ref="Q2">
      <text>
        <t xml:space="preserve">======
ID#AAAB3DoWdWM
OpenAI    (2026-04-06 07:57:28)
TM2A | A: explicit non-AI baseline
Applies to: Option A only
0 = No valid non-AI baseline, or comparison is not on the same task/data.
1 = A baseline exists, but it is weak, unfair, or incomplete.
2 = A clear non-AI baseline is implemented on the same task/data with a fair comparison.
Announcement basis: Option A technical requirements: at least one explicit non-AI baseline.</t>
      </text>
    </comment>
    <comment authorId="0" ref="BI2">
      <text>
        <t xml:space="preserve">======
ID#AAAB3DoWdWQ
OpenAI    (2026-04-06 07:57:28)
Weighted base grade out of 100. This stays blank until all applicable base-rubric cells are filled.</t>
      </text>
    </comment>
    <comment authorId="0" ref="AT2">
      <text>
        <t xml:space="preserve">======
ID#AAAB3DoWdWI
OpenAI    (2026-04-06 07:57:28)
CI2 | Thoughtful design decisions and trade-offs
Applies to: All
0 = Decisions appear arbitrary or unexamined.
1 = Some trade-offs are mentioned, but not thoughtfully justified.
2 = Design choices show thoughtful trade-off reasoning.
Announcement basis: Prior rubric: thoughtful design decisions.</t>
      </text>
    </comment>
    <comment authorId="0" ref="X2">
      <text>
        <t xml:space="preserve">======
ID#AAAB3Di3i4c
OpenAI    (2026-04-06 07:57:28)
TM8B | B: research artifact depth
Applies to: Option B only
0 = No plausible research artifact beyond 'a model ran'.
1 = Some artifact exists (draft, analysis, ablation, dataset work), but it is shallow or incomplete.
2 = Strong research artifact such as a paper draft, novel analysis, benchmark/dataset, or meaningful ablation package.
Announcement basis: Option B expected outputs: paper draft, new benchmark/dataset, or novel experimental analysis.</t>
      </text>
    </comment>
    <comment authorId="0" ref="AU2">
      <text>
        <t xml:space="preserve">======
ID#AAAB3Di3i4Y
OpenAI    (2026-04-06 07:57:28)
CI3 | Meaningful effort beyond minimum requirements
Applies to: All
0 = Only the minimum requirements are met.
1 = Some extra effort exists, but impact is limited.
2 = Meaningful effort beyond minimum requirements with clear value.
Announcement basis: Prior rubric: effort beyond the basic requirements.</t>
      </text>
    </comment>
    <comment authorId="0" ref="S2">
      <text>
        <t xml:space="preserve">======
ID#AAAB3Di3i4U
OpenAI    (2026-04-06 07:57:28)
TM3 | ML method choice and substantive contribution
Applies to: All
0 = Method is inappropriate, unexplained, or just a thin wrapper around a pretrained model with no substantive ML work.
1 = Method is somewhat justified, but choices or trade-offs are weakly defended.
2 = Method choice is appropriate, clearly justified, and shows substantive ML design beyond simple wrapping.
Announcement basis: Technical requirements + hard rule against just wrapping a pretrained model.</t>
      </text>
    </comment>
    <comment authorId="0" ref="AM2">
      <text>
        <t xml:space="preserve">======
ID#AAAB3Di3i4Q
OpenAI    (2026-04-06 07:57:28)
GD4 | Results tables, logs, experiment notes, ablations
Applies to: All
0 = No real experiment record or result trace is documented.
1 = Some results are shown, but logs/tables/ablations are incomplete.
2 = Baseline comparisons, results tables, logs, or ablations are clearly documented.
Announcement basis: Prior rubric: experiment notes, comparison tables, logs.</t>
      </text>
    </comment>
    <comment authorId="0" ref="F2">
      <text>
        <t xml:space="preserve">======
ID#AAAB3Di3i4M
OpenAI    (2026-04-06 07:57:28)
Enter Y only if the team is explicitly claiming a graph-based project. If Y, TM9G and TM10G become required.</t>
      </text>
    </comment>
    <comment authorId="0" ref="G2">
      <text>
        <t xml:space="preserve">======
ID#AAAB3Di3i4I
OpenAI    (2026-04-06 07:57:28)
Enter Y only if the team did real edge/mobile/on-device deployment work. This only affects optional bonus BX1.</t>
      </text>
    </comment>
    <comment authorId="0" ref="W2">
      <text>
        <t xml:space="preserve">======
ID#AAAB3Di3i4E
OpenAI    (2026-04-06 07:57:28)
TM7 | Limitations and trade-offs
Applies to: All
0 = Limitations are ignored, hidden, or misrepresented.
1 = Some limitations are mentioned, but discussion is superficial.
2 = Limitations and trade-offs are discussed honestly and with technical accuracy.
Announcement basis: General ML requirements: honest discussion of limitations.</t>
      </text>
    </comment>
    <comment authorId="0" ref="M2">
      <text>
        <t xml:space="preserve">======
ID#AAAB3Di3i4A
OpenAI    (2026-04-06 07:57:28)
PF3B | B: why research, not application + publishable scope
Applies to: Option B only
0 = Could easily be framed as an application project, or the final scope is not plausibly publishable.
1 = Some research motivation exists, but the case for non-application framing or publishability is uncertain.
2 = Strong case that the work is genuinely research-driven and that the scope/output is plausibly publishable.
Announcement basis: Option B mandatory conditions and hard rule: not application-framed; plausibly publishable.</t>
      </text>
    </comment>
    <comment authorId="0" ref="L2">
      <text>
        <t xml:space="preserve">======
ID#AAAB3Di3i38
OpenAI    (2026-04-06 07:57:28)
PF3A | A: why ML, why not a simpler non-AI solution
Applies to: Option A only
0 = No real justification for ML, or the work could obviously be handled by a simpler non-AI approach.
1 = Some justification exists, but it relies on generic claims or weak reasoning.
2 = Gives a concrete reason a simpler non-AI solution is insufficient and why ML is appropriate beyond buzzwords.
Announcement basis: Option A mandatory requirements: why a non-AI solution is insufficient; why ML is appropriate.</t>
      </text>
    </comment>
    <comment authorId="0" ref="P2">
      <text>
        <t xml:space="preserve">======
ID#AAAB3Di3i34
OpenAI    (2026-04-06 07:57:28)
TM1 | Task formulation, target, and data visibility
Applies to: All
0 = Inputs, outputs, task type, or data access/visibility are unclear or incorrect.
1 = Most pieces are present, but key assumptions or data details are under-specified.
2 = Task, target, data availability, and assumptions are correctly defined.
Announcement basis: General ML requirements: clear problem formulation, proper data visibility.</t>
      </text>
    </comment>
    <comment authorId="0" ref="AD2">
      <text>
        <t xml:space="preserve">======
ID#AAAB3Di3i30
OpenAI    (2026-04-06 07:57:28)
RM4 | Robustness / distribution shift
Applies to: All
0 = Not addressed.
1 = Robustness or distribution shift is mentioned, but with little evidence.
2 = Concrete robustness or distribution-shift analysis or mitigation is shown.
Announcement basis: Responsible ML requirement: robustness or failure under distribution shift.</t>
      </text>
    </comment>
    <comment authorId="0" ref="BC2">
      <text>
        <t xml:space="preserve">======
ID#AAAB3Di3i3w
OpenAI    (2026-04-06 07:57:28)
Auto-scaled category score out of 10 for Problem &amp; Fit.</t>
      </text>
    </comment>
    <comment authorId="0" ref="O2">
      <text>
        <t xml:space="preserve">======
ID#AAAB3Di3i3s
OpenAI    (2026-04-06 07:57:28)
PF5 | Project type/track fit and success criteria
Applies to: All
0 = Chosen type/track does not fit the work, or success criteria are absent.
1 = Fit is mostly reasonable, but success criteria or alignment are incomplete.
2 = Chosen type/track is appropriate and success criteria are explicit and aligned.
Announcement basis: Track alignment from prior rubric + announcement requirement to choose exactly one type.</t>
      </text>
    </comment>
    <comment authorId="0" ref="U2">
      <text>
        <t xml:space="preserve">======
ID#AAAB3Di3i3o
OpenAI    (2026-04-06 07:57:28)
TM5 | Evaluation protocol, splits, and metrics
Applies to: All
0 = Splits, metrics, or evaluation protocol are missing or seriously flawed.
1 = Evaluation exists, but the design or metric choice is only partly convincing.
2 = Train/validation/test (or equivalent), justified metrics, and a reproducible evaluation protocol are sound.
Announcement basis: Sound experimentation: splits, metrics, justified evaluation metrics.</t>
      </text>
    </comment>
    <comment authorId="0" ref="AH2">
      <text>
        <t xml:space="preserve">======
ID#AAAB3Di3i3k
OpenAI    (2026-04-06 07:57:28)
EN4 | Functional UI or demo flow appropriate to project type
Applies to: All
0 = Missing or nonfunctional demo/UI.
1 = Minimal demo works, but it is incomplete, brittle, or poorly aligned to the project type.
2 = Functional end-to-end demo/UI appropriate to the project type. For Option B, a minimal but effective demo endpoint/runner is acceptable.
Announcement basis: Option A production requirement: minimal but functional user interface.</t>
      </text>
    </comment>
    <comment authorId="0" ref="AI2">
      <text>
        <t xml:space="preserve">======
ID#AAAB3Di3i3g
OpenAI    (2026-04-06 07:57:28)
EN5 | Running deployed artifact or stable service
Applies to: All
0 = No deployed artifact/service and no clear evaluation run path.
1 = Runs locally or is partially deployed, but not reliably presented.
2 = Running deployed artifact/API or a very clear, stable service setup suitable for evaluation.
Announcement basis: Final deliverables: running API (cloud of your choice).</t>
      </text>
    </comment>
    <comment authorId="0" ref="BE2">
      <text>
        <t xml:space="preserve">======
ID#AAAB3Di3i3c
OpenAI    (2026-04-06 07:57:28)
Auto-scaled category score out of 10 for Deployment &amp; Engineering.</t>
      </text>
    </comment>
    <comment authorId="0" ref="BA2">
      <text>
        <t xml:space="preserve">======
ID#AAAB3Di3i3Y
OpenAI    (2026-04-06 07:57:28)
How many applicable base-rubric cells are currently filled with 0/1/2.</t>
      </text>
    </comment>
    <comment authorId="0" ref="AL2">
      <text>
        <t xml:space="preserve">======
ID#AAAB3Di3i3U
OpenAI    (2026-04-06 07:57:28)
GD3 | Method / architecture documentation
Applies to: All
0 = System or method is unclear from the repository.
1 = Some documentation exists, but the architecture/method is not fully understandable.
2 = Documentation makes the system/method understandable without digging through code.
Announcement basis: Prior rubric: system architecture and documentation.</t>
      </text>
    </comment>
    <comment authorId="0" ref="T2">
      <text>
        <t xml:space="preserve">======
ID#AAAB3Di3i3Q
OpenAI    (2026-04-06 07:57:28)
TM4 | Preprocessing, feature engineering, leakage control
Applies to: All
0 = Major leakage or preprocessing errors are present.
1 = Pipeline mostly works, but some steps or justifications are weak.
2 = Preprocessing/features are correct, leakage-aware, and technically sound.
Announcement basis: Prior rubric: preprocessing, feature engineering. General ML soundness.</t>
      </text>
    </comment>
    <comment authorId="0" ref="B2">
      <text>
        <t xml:space="preserve">======
ID#AAAB3Di3i3M
OpenAI    (2026-04-06 07:57:28)
List the team members exactly as you want them shown in your records.</t>
      </text>
    </comment>
    <comment authorId="0" ref="BL2">
      <text>
        <t xml:space="preserve">======
ID#AAAB3Di3i3I
OpenAI    (2026-04-06 07:57:28)
Count of Responsible ML topics with score &gt; 0. Announcement minimum is 3 topics.</t>
      </text>
    </comment>
    <comment authorId="0" ref="AN2">
      <text>
        <t xml:space="preserve">======
ID#AAAB3Di3i3E
OpenAI    (2026-04-06 07:57:28)
GD5 | Data sources, limitations, ethics/compliance, deployment notes
Applies to: All
0 = Important context such as data source, limitations, or deployment notes is missing.
1 = Some notes exist, but important context is still missing.
2 = Data sources, limitations, ethics/compliance, and deployment notes are documented.
Announcement basis: General ML limitation discussion + prior rubric deployment notes.</t>
      </text>
    </comment>
    <comment authorId="0" ref="AW2">
      <text>
        <t xml:space="preserve">======
ID#AAAB3B67Rik
OpenAI    (2026-04-06 07:57:28)
BX1 | Edge/mobile deployment under real constraints
Applies to: Optional bonus
0 = Not present, simulated without constraints, or unjustified.
1 = Some real edge/mobile work exists, but constraints or justification are weak.
2 = Real edge/mobile deployment or on-device inference under meaningful constraints is justified.
Announcement basis: Announcement bonus: edge/mobile deployment gets positive consideration.</t>
      </text>
    </comment>
    <comment authorId="0" ref="D2">
      <text>
        <t xml:space="preserve">======
ID#AAAB3B67Rig
OpenAI    (2026-04-06 07:57:28)
Repository URL or short repo reference.</t>
      </text>
    </comment>
    <comment authorId="0" ref="E2">
      <text>
        <t xml:space="preserve">======
ID#AAAB3B67Ric
OpenAI    (2026-04-06 07:57:28)
Enter A for Application-Oriented ML Systems, or B for Research-Oriented ML Projects.</t>
      </text>
    </comment>
    <comment authorId="0" ref="Z2">
      <text>
        <t xml:space="preserve">======
ID#AAAB3B67RiY
OpenAI    (2026-04-06 07:57:28)
TM10G | Graph justification and non-graph baseline
Applies to: Graph projects only
0 = No non-graph baseline or no justification for the graph structure.
1 = One part exists, but the baseline or justification is weak/incomplete.
2 = Fair non-graph baseline on the same raw data and a clear explanation of what graph structure adds.
Announcement basis: Graph requirements: compare against non-graph baseline; justify why graph captures added information.</t>
      </text>
    </comment>
    <comment authorId="0" ref="AP2">
      <text>
        <t xml:space="preserve">======
ID#AAAB3B67RiU
OpenAI    (2026-04-06 07:57:28)
PR2 | Method / architecture explanation
Applies to: All
0 = Pipeline explanation is confusing or incorrect.
1 = Mostly understandable, but key steps are missing or rushed.
2 = Method/architecture explanation is logical and technically clear.
Announcement basis: Presentation expectations: architecture, ML approach, deployment plan.</t>
      </text>
    </comment>
    <comment authorId="0" ref="AJ2">
      <text>
        <t xml:space="preserve">======
ID#AAAB3B67RiQ
OpenAI    (2026-04-06 07:57:28)
GD1 | Repository structure and naming
Applies to: All
0 = Repository structure is confusing or inconsistent.
1 = Mostly organized, but some folders/files are unclear.
2 = Clear folder structure and naming throughout the repository.
Announcement basis: Final deliverables: well-structured GitHub repository.</t>
      </text>
    </comment>
    <comment authorId="0" ref="C2">
      <text>
        <t xml:space="preserve">======
ID#AAAB3B67RiM
OpenAI    (2026-04-06 07:57:28)
Student-facing project title.</t>
      </text>
    </comment>
  </commentList>
  <extLst>
    <ext uri="GoogleSheetsCustomDataVersion2">
      <go:sheetsCustomData xmlns:go="http://customooxmlschemas.google.com/" r:id="rId1" roundtripDataSignature="AMtx7mgKVY6+XgXXS2Uog2njTGJCFIJMoQ=="/>
    </ext>
  </extLst>
</comments>
</file>

<file path=xl/sharedStrings.xml><?xml version="1.0" encoding="utf-8"?>
<sst xmlns="http://schemas.openxmlformats.org/spreadsheetml/2006/main" count="456" uniqueCount="372">
  <si>
    <t>How to use this workbook</t>
  </si>
  <si>
    <t>1. Fill project metadata</t>
  </si>
  <si>
    <t>Enter project number, team, title, repo, Type (A/B), Graph? (Y/N), and Edge/Mobile? (Y/N).</t>
  </si>
  <si>
    <t>2. Score only applicable rubric cells</t>
  </si>
  <si>
    <t>Enter 0, 1, or 2 for each applicable criterion. Leave A-only, B-only, or Graph-only cells blank when they do not apply.</t>
  </si>
  <si>
    <t>3. Use the rubric notes</t>
  </si>
  <si>
    <t>Each rubric header cell in the Gradebook includes a note/comment with the exact 0 / 1 / 2 anchor. The Rubric_Guide tab contains the same anchors in table form.</t>
  </si>
  <si>
    <t>4. Interpret the flags</t>
  </si>
  <si>
    <t>Type req flag checks essential mandatory requirements from the announcement. Graph req flag checks graph-specific hard requirements. Review shows the quickest issue to look at.</t>
  </si>
  <si>
    <t>5. Responsible ML minimum</t>
  </si>
  <si>
    <t>The announcement requires at least 3 of 4 topics to be addressed. The workbook counts these in the 'RML topics met' column.</t>
  </si>
  <si>
    <t>6. Bonus logic</t>
  </si>
  <si>
    <t>Each bonus criterion can add up to +1 point. Total bonus = (BX1 + BX2 + BX3) / 2, for a max of +3.</t>
  </si>
  <si>
    <t>7. Final grade logic</t>
  </si>
  <si>
    <t>Base grade is weighted to 100 using the category weights from last semester. Final % = Base grade + Bonus. The base grade stays blank until all applicable base-rubric cells are filled.</t>
  </si>
  <si>
    <t>8. Hard-rule notes from the announcement</t>
  </si>
  <si>
    <t>Option A: a Streamlit app that simply wraps a pretrained model without baseline or analysis is insufficient. Option B: if the outcome is not plausibly publishable, the project is rejected, not downgraded. Graph projects must use the graph as a core modeling object and compare to a non-graph baseline.</t>
  </si>
  <si>
    <t>9. What this workbook intentionally does not automate</t>
  </si>
  <si>
    <t>Peer-relative or competitive cohort ranking is not automated here, so the base rubric stays as objective and defensible as possible.</t>
  </si>
  <si>
    <t>Legend</t>
  </si>
  <si>
    <t>0</t>
  </si>
  <si>
    <t>Not met</t>
  </si>
  <si>
    <t>1</t>
  </si>
  <si>
    <t>Partially met</t>
  </si>
  <si>
    <t>2</t>
  </si>
  <si>
    <t>Fully met</t>
  </si>
  <si>
    <t>Project Info / Controls</t>
  </si>
  <si>
    <t>Problem &amp; Fit (15%)</t>
  </si>
  <si>
    <t>Technical Rigor &amp; Responsible ML (30%)</t>
  </si>
  <si>
    <t>Deployment &amp; Engineering (20%)</t>
  </si>
  <si>
    <t>GitHub &amp; Documentation (15%)</t>
  </si>
  <si>
    <t>Presentation (10%)</t>
  </si>
  <si>
    <t>Creativity &amp; Initiative (10%)</t>
  </si>
  <si>
    <t>Bonus (+3 max)</t>
  </si>
  <si>
    <t>Auto-calculated Summary / Flags</t>
  </si>
  <si>
    <t>Project #</t>
  </si>
  <si>
    <t>Team Members</t>
  </si>
  <si>
    <t>Project Title</t>
  </si>
  <si>
    <t>GitHub Repo</t>
  </si>
  <si>
    <t>Type
(A/B)</t>
  </si>
  <si>
    <t>Graph?
(Y/N)</t>
  </si>
  <si>
    <t>Edge /
Mobile?
(Y/N)</t>
  </si>
  <si>
    <t>Evidence /
Notes</t>
  </si>
  <si>
    <t>PF1
Specific problem /
question</t>
  </si>
  <si>
    <t>PF2A
A: user /
decision /
deployer</t>
  </si>
  <si>
    <t>PF2B
B: research
question +
venue</t>
  </si>
  <si>
    <t>PF3A
A: why ML,
why not
simpler</t>
  </si>
  <si>
    <t>PF3B
B: not appl.
+ publishable
scope</t>
  </si>
  <si>
    <t>PF4
Impact /
significance</t>
  </si>
  <si>
    <t>PF5
Type / track fit
+ success
criteria</t>
  </si>
  <si>
    <t>TM1
Task + data
formulation</t>
  </si>
  <si>
    <t>TM2A
A: non-AI
baseline</t>
  </si>
  <si>
    <t>TM2B
B: baseline /
prior-work
compare</t>
  </si>
  <si>
    <t>TM3
Method
choice +
substance</t>
  </si>
  <si>
    <t>TM4
Preprocess /
features /
leakage</t>
  </si>
  <si>
    <t>TM5
Splits,
metrics,
protocol</t>
  </si>
  <si>
    <t>TM6
Error
analysis</t>
  </si>
  <si>
    <t>TM7
Limits +
trade-offs</t>
  </si>
  <si>
    <t>TM8B
B: research
artifact
depth</t>
  </si>
  <si>
    <t>TM9G
Graph core
object</t>
  </si>
  <si>
    <t>TM10G
Graph vs
non-graph
justified</t>
  </si>
  <si>
    <t>RM1
Explain-
ability</t>
  </si>
  <si>
    <t>RM2
Fairness /
bias</t>
  </si>
  <si>
    <t>RM3
Privacy /
leakage</t>
  </si>
  <si>
    <t>RM4
Robust-
ness /
shift</t>
  </si>
  <si>
    <t>EN1
Dockerized
API</t>
  </si>
  <si>
    <t>EN2
Separation of
data/model/
serving</t>
  </si>
  <si>
    <t>EN3
Repro env +
run path</t>
  </si>
  <si>
    <t>EN4
UI / demo
flow</t>
  </si>
  <si>
    <t>EN5
Running
artifact /
service</t>
  </si>
  <si>
    <t>GD1
Repo
structure</t>
  </si>
  <si>
    <t>GD2
README:
setup + run</t>
  </si>
  <si>
    <t>GD3
Method /
arch docs</t>
  </si>
  <si>
    <t>GD4
Results /
logs /
ablations</t>
  </si>
  <si>
    <t>GD5
Data +
limits +
notes</t>
  </si>
  <si>
    <t>PR1
Problem
clarity</t>
  </si>
  <si>
    <t>PR2
Method
clarity</t>
  </si>
  <si>
    <t>PR3
Results /
demo
clarity</t>
  </si>
  <si>
    <t>PR4
Q&amp;A /
ownership</t>
  </si>
  <si>
    <t>CI1
Originality</t>
  </si>
  <si>
    <t>CI2
Design
trade-offs</t>
  </si>
  <si>
    <t>CI3
Beyond
minimum</t>
  </si>
  <si>
    <t>CI4
Purposeful
extras</t>
  </si>
  <si>
    <t>BX1
Edge /
mobile</t>
  </si>
  <si>
    <t>BX2
RM beyond
minimum</t>
  </si>
  <si>
    <t>BX3
Exceptional
extension</t>
  </si>
  <si>
    <t>Applicable
rubrics</t>
  </si>
  <si>
    <t>Scored
rubrics</t>
  </si>
  <si>
    <t>Remaining
blanks</t>
  </si>
  <si>
    <t>Problem
/10</t>
  </si>
  <si>
    <t>Tech
/10</t>
  </si>
  <si>
    <t>Eng
/10</t>
  </si>
  <si>
    <t>Repo
/10</t>
  </si>
  <si>
    <t>Pres
/10</t>
  </si>
  <si>
    <t>Creativity
/10</t>
  </si>
  <si>
    <t>Base grade
/100</t>
  </si>
  <si>
    <t>Bonus
/3</t>
  </si>
  <si>
    <t>Final %</t>
  </si>
  <si>
    <t>RML topics
met</t>
  </si>
  <si>
    <t>Type req
flag</t>
  </si>
  <si>
    <t>Graph req
flag</t>
  </si>
  <si>
    <t>Review</t>
  </si>
  <si>
    <t>Rubric Guide</t>
  </si>
  <si>
    <t>Use 0, 1, or 2 in the Gradebook. Leave only non-applicable cells blank. Applicable counts are automated from the Type and Graph columns. Bonus cells are optional and blank bonus cells count as 0 bonus.</t>
  </si>
  <si>
    <t>Code</t>
  </si>
  <si>
    <t>Category</t>
  </si>
  <si>
    <t>Applies to</t>
  </si>
  <si>
    <t>Criterion</t>
  </si>
  <si>
    <t>0 = Not met</t>
  </si>
  <si>
    <t>1 = Partially met</t>
  </si>
  <si>
    <t>2 = Fully met</t>
  </si>
  <si>
    <t>Announcement basis</t>
  </si>
  <si>
    <t>PF1</t>
  </si>
  <si>
    <t>All</t>
  </si>
  <si>
    <t>Specific problem / question</t>
  </si>
  <si>
    <t>Problem or research question is vague, too broad, or not testable/measurable.</t>
  </si>
  <si>
    <t>A problem/question exists, but scope, target, or success criterion is still fuzzy.</t>
  </si>
  <si>
    <t>Problem/question is specific, scoped, and measurable; inputs, outputs, and objective are clear.</t>
  </si>
  <si>
    <t>General ML requirement: clear problem formulation. Evaluation criterion 1: realism, clarity, relevance.</t>
  </si>
  <si>
    <t>PF2A</t>
  </si>
  <si>
    <t>Option A only</t>
  </si>
  <si>
    <t>A: user / decision / deployer / payer</t>
  </si>
  <si>
    <t>No clear user, decision being automated/augmented, deployer, or payer.</t>
  </si>
  <si>
    <t>Some stakeholders are mentioned, but deployment or use context is incomplete.</t>
  </si>
  <si>
    <t>Clearly identifies the user, the decision being automated/augmented, and a realistic deployer or payer.</t>
  </si>
  <si>
    <t>Option A mandatory requirements: define decision, who would deploy/pay.</t>
  </si>
  <si>
    <t>PF2B</t>
  </si>
  <si>
    <t>Option B only</t>
  </si>
  <si>
    <t>B: research question + target venue/benchmark</t>
  </si>
  <si>
    <t>Research question or target venue/benchmark is missing.</t>
  </si>
  <si>
    <t>Both are mentioned, but the match is weak, vague, or under-justified.</t>
  </si>
  <si>
    <t>Clear research question and an appropriate target venue/benchmark are explicitly stated.</t>
  </si>
  <si>
    <t>Option B mandatory conditions: research question and target venue.</t>
  </si>
  <si>
    <t>PF3A</t>
  </si>
  <si>
    <t>A: why ML, why not a simpler non-AI solution</t>
  </si>
  <si>
    <t>No real justification for ML, or the work could obviously be handled by a simpler non-AI approach.</t>
  </si>
  <si>
    <t>Some justification exists, but it relies on generic claims or weak reasoning.</t>
  </si>
  <si>
    <t>Gives a concrete reason a simpler non-AI solution is insufficient and why ML is appropriate beyond buzzwords.</t>
  </si>
  <si>
    <t>Option A mandatory requirements: why a non-AI solution is insufficient; why ML is appropriate.</t>
  </si>
  <si>
    <t>PF3B</t>
  </si>
  <si>
    <t>B: why research, not application + publishable scope</t>
  </si>
  <si>
    <t>Could easily be framed as an application project, or the final scope is not plausibly publishable.</t>
  </si>
  <si>
    <t>Some research motivation exists, but the case for non-application framing or publishability is uncertain.</t>
  </si>
  <si>
    <t>Strong case that the work is genuinely research-driven and that the scope/output is plausibly publishable.</t>
  </si>
  <si>
    <t>Option B mandatory conditions and hard rule: not application-framed; plausibly publishable.</t>
  </si>
  <si>
    <t>PF4</t>
  </si>
  <si>
    <t>Real-world impact or scientific significance</t>
  </si>
  <si>
    <t>Importance is asserted only, with no credible evidence or reasoning.</t>
  </si>
  <si>
    <t>Relevance is described, but evidence, constraints, or stakes are still weak.</t>
  </si>
  <si>
    <t>Importance, constraints, and likely impact/significance are supported with evidence or credible domain reasoning.</t>
  </si>
  <si>
    <t>Option A: real-world problem and market/pain point. Option B: inherently research-driven and significant.</t>
  </si>
  <si>
    <t>PF5</t>
  </si>
  <si>
    <t>Project type/track fit and success criteria</t>
  </si>
  <si>
    <t>Chosen type/track does not fit the work, or success criteria are absent.</t>
  </si>
  <si>
    <t>Fit is mostly reasonable, but success criteria or alignment are incomplete.</t>
  </si>
  <si>
    <t>Chosen type/track is appropriate and success criteria are explicit and aligned.</t>
  </si>
  <si>
    <t>Track alignment from prior rubric + announcement requirement to choose exactly one type.</t>
  </si>
  <si>
    <t>TM1</t>
  </si>
  <si>
    <t>Task formulation, target, and data visibility</t>
  </si>
  <si>
    <t>Inputs, outputs, task type, or data access/visibility are unclear or incorrect.</t>
  </si>
  <si>
    <t>Most pieces are present, but key assumptions or data details are under-specified.</t>
  </si>
  <si>
    <t>Task, target, data availability, and assumptions are correctly defined.</t>
  </si>
  <si>
    <t>General ML requirements: clear problem formulation, proper data visibility.</t>
  </si>
  <si>
    <t>TM2A</t>
  </si>
  <si>
    <t>A: explicit non-AI baseline</t>
  </si>
  <si>
    <t>No valid non-AI baseline, or comparison is not on the same task/data.</t>
  </si>
  <si>
    <t>A baseline exists, but it is weak, unfair, or incomplete.</t>
  </si>
  <si>
    <t>A clear non-AI baseline is implemented on the same task/data with a fair comparison.</t>
  </si>
  <si>
    <t>Option A technical requirements: at least one explicit non-AI baseline.</t>
  </si>
  <si>
    <t>TM2B</t>
  </si>
  <si>
    <t>B: baseline or prior-work comparison</t>
  </si>
  <si>
    <t>No meaningful baseline or prior-work comparison is provided.</t>
  </si>
  <si>
    <t>A comparison exists, but it is weak, incomplete, or not quite fair.</t>
  </si>
  <si>
    <t>Strong, fair comparison to appropriate baseline(s) or prior work on the same task/data.</t>
  </si>
  <si>
    <t>General ML requirements: baseline comparison. Research expectation: competitive experimental grounding.</t>
  </si>
  <si>
    <t>TM3</t>
  </si>
  <si>
    <t>ML method choice and substantive contribution</t>
  </si>
  <si>
    <t>Method is inappropriate, unexplained, or just a thin wrapper around a pretrained model with no substantive ML work.</t>
  </si>
  <si>
    <t>Method is somewhat justified, but choices or trade-offs are weakly defended.</t>
  </si>
  <si>
    <t>Method choice is appropriate, clearly justified, and shows substantive ML design beyond simple wrapping.</t>
  </si>
  <si>
    <t>Technical requirements + hard rule against just wrapping a pretrained model.</t>
  </si>
  <si>
    <t>TM4</t>
  </si>
  <si>
    <t>Preprocessing, feature engineering, leakage control</t>
  </si>
  <si>
    <t>Major leakage or preprocessing errors are present.</t>
  </si>
  <si>
    <t>Pipeline mostly works, but some steps or justifications are weak.</t>
  </si>
  <si>
    <t>Preprocessing/features are correct, leakage-aware, and technically sound.</t>
  </si>
  <si>
    <t>Prior rubric: preprocessing, feature engineering. General ML soundness.</t>
  </si>
  <si>
    <t>TM5</t>
  </si>
  <si>
    <t>Evaluation protocol, splits, and metrics</t>
  </si>
  <si>
    <t>Splits, metrics, or evaluation protocol are missing or seriously flawed.</t>
  </si>
  <si>
    <t>Evaluation exists, but the design or metric choice is only partly convincing.</t>
  </si>
  <si>
    <t>Train/validation/test (or equivalent), justified metrics, and a reproducible evaluation protocol are sound.</t>
  </si>
  <si>
    <t>Sound experimentation: splits, metrics, justified evaluation metrics.</t>
  </si>
  <si>
    <t>TM6</t>
  </si>
  <si>
    <t>Error analysis and failure cases</t>
  </si>
  <si>
    <t>No real error analysis or failure cases are shown.</t>
  </si>
  <si>
    <t>Some errors/examples are shown, but the analysis is shallow.</t>
  </si>
  <si>
    <t>Concrete failure modes are analyzed and connected to model behavior.</t>
  </si>
  <si>
    <t>Option A technical requirements: error analysis and failure cases. Critical thinking criterion.</t>
  </si>
  <si>
    <t>TM7</t>
  </si>
  <si>
    <t>Limitations and trade-offs</t>
  </si>
  <si>
    <t>Limitations are ignored, hidden, or misrepresented.</t>
  </si>
  <si>
    <t>Some limitations are mentioned, but discussion is superficial.</t>
  </si>
  <si>
    <t>Limitations and trade-offs are discussed honestly and with technical accuracy.</t>
  </si>
  <si>
    <t>General ML requirements: honest discussion of limitations.</t>
  </si>
  <si>
    <t>TM8B</t>
  </si>
  <si>
    <t>B: research artifact depth</t>
  </si>
  <si>
    <t>No plausible research artifact beyond 'a model ran'.</t>
  </si>
  <si>
    <t>Some artifact exists (draft, analysis, ablation, dataset work), but it is shallow or incomplete.</t>
  </si>
  <si>
    <t>Strong research artifact such as a paper draft, novel analysis, benchmark/dataset, or meaningful ablation package.</t>
  </si>
  <si>
    <t>Option B expected outputs: paper draft, new benchmark/dataset, or novel experimental analysis.</t>
  </si>
  <si>
    <t>TM9G</t>
  </si>
  <si>
    <t>Graph projects only</t>
  </si>
  <si>
    <t>Graph is a core modeling object</t>
  </si>
  <si>
    <t>Graph is only used for visualization/storage, or nodes/edges/relations are not clearly defined.</t>
  </si>
  <si>
    <t>Graph has some modeling role, but representation is incomplete or weakly justified.</t>
  </si>
  <si>
    <t>Graph is a core modeling object with clear nodes, edges, and relations.</t>
  </si>
  <si>
    <t>Additional requirement for graph-based projects: graph must be core object; define nodes/edges/relations.</t>
  </si>
  <si>
    <t>TM10G</t>
  </si>
  <si>
    <t>Graph justification and non-graph baseline</t>
  </si>
  <si>
    <t>No non-graph baseline or no justification for the graph structure.</t>
  </si>
  <si>
    <t>One part exists, but the baseline or justification is weak/incomplete.</t>
  </si>
  <si>
    <t>Fair non-graph baseline on the same raw data and a clear explanation of what graph structure adds.</t>
  </si>
  <si>
    <t>Graph requirements: compare against non-graph baseline; justify why graph captures added information.</t>
  </si>
  <si>
    <t>RM1</t>
  </si>
  <si>
    <t>Explainability / interpretability</t>
  </si>
  <si>
    <t>Not addressed.</t>
  </si>
  <si>
    <t>Mentioned or lightly demonstrated, but without real insight.</t>
  </si>
  <si>
    <t>Meaningfully addressed with an interpretation or explainability method tied to decisions/errors.</t>
  </si>
  <si>
    <t>Responsible ML requirement: explainability or interpretability.</t>
  </si>
  <si>
    <t>RM2</t>
  </si>
  <si>
    <t>Bias / fairness</t>
  </si>
  <si>
    <t>Bias/fairness risks are mentioned, but no concrete check is shown.</t>
  </si>
  <si>
    <t>A concrete fairness concern is identified and evaluated or mitigated.</t>
  </si>
  <si>
    <t>Responsible ML requirement: bias or fairness concerns.</t>
  </si>
  <si>
    <t>RM3</t>
  </si>
  <si>
    <t>Privacy / data leakage risks</t>
  </si>
  <si>
    <t>Risk is acknowledged, but no concrete handling is shown.</t>
  </si>
  <si>
    <t>A concrete privacy or leakage risk is identified and addressed with checks or design decisions.</t>
  </si>
  <si>
    <t>Responsible ML requirement: privacy or data leakage risks.</t>
  </si>
  <si>
    <t>RM4</t>
  </si>
  <si>
    <t>Robustness / distribution shift</t>
  </si>
  <si>
    <t>Robustness or distribution shift is mentioned, but with little evidence.</t>
  </si>
  <si>
    <t>Concrete robustness or distribution-shift analysis or mitigation is shown.</t>
  </si>
  <si>
    <t>Responsible ML requirement: robustness or failure under distribution shift.</t>
  </si>
  <si>
    <t>EN1</t>
  </si>
  <si>
    <t>Working Dockerized API</t>
  </si>
  <si>
    <t>No working Dockerized API.</t>
  </si>
  <si>
    <t>Partial API or Docker setup exists, but it is not reliably runnable end-to-end.</t>
  </si>
  <si>
    <t>Working Dockerized API with a clear run path.</t>
  </si>
  <si>
    <t>Option A production requirement + final deliverable: running API.</t>
  </si>
  <si>
    <t>EN2</t>
  </si>
  <si>
    <t>Separation of data processing, model logic, and serving</t>
  </si>
  <si>
    <t>Code is monolithic or the boundaries are tangled.</t>
  </si>
  <si>
    <t>Some separation exists, but boundaries are unclear.</t>
  </si>
  <si>
    <t>Clear separation between data processing, model logic, and serving.</t>
  </si>
  <si>
    <t>Option A production requirement: clear separation between data processing, model logic, and serving.</t>
  </si>
  <si>
    <t>EN3</t>
  </si>
  <si>
    <t>Reproducible environment and run path</t>
  </si>
  <si>
    <t>Project cannot be reliably reproduced or rerun.</t>
  </si>
  <si>
    <t>Some instructions/env files exist, but reproduction is incomplete or fragile.</t>
  </si>
  <si>
    <t>Environment, versions, seeds/checkpoints, and instructions make reruns straightforward.</t>
  </si>
  <si>
    <t>Production requirement: reproducible experiments.</t>
  </si>
  <si>
    <t>EN4</t>
  </si>
  <si>
    <t>Functional UI or demo flow appropriate to project type</t>
  </si>
  <si>
    <t>Missing or nonfunctional demo/UI.</t>
  </si>
  <si>
    <t>Minimal demo works, but it is incomplete, brittle, or poorly aligned to the project type.</t>
  </si>
  <si>
    <t>Functional end-to-end demo/UI appropriate to the project type. For Option B, a minimal but effective demo endpoint/runner is acceptable.</t>
  </si>
  <si>
    <t>Option A production requirement: minimal but functional user interface.</t>
  </si>
  <si>
    <t>EN5</t>
  </si>
  <si>
    <t>Running deployed artifact or stable service</t>
  </si>
  <si>
    <t>No deployed artifact/service and no clear evaluation run path.</t>
  </si>
  <si>
    <t>Runs locally or is partially deployed, but not reliably presented.</t>
  </si>
  <si>
    <t>Running deployed artifact/API or a very clear, stable service setup suitable for evaluation.</t>
  </si>
  <si>
    <t>Final deliverables: running API (cloud of your choice).</t>
  </si>
  <si>
    <t>GD1</t>
  </si>
  <si>
    <t>Repository structure and naming</t>
  </si>
  <si>
    <t>Repository structure is confusing or inconsistent.</t>
  </si>
  <si>
    <t>Mostly organized, but some folders/files are unclear.</t>
  </si>
  <si>
    <t>Clear folder structure and naming throughout the repository.</t>
  </si>
  <si>
    <t>Final deliverables: well-structured GitHub repository.</t>
  </si>
  <si>
    <t>GD2</t>
  </si>
  <si>
    <t>README with setup, run, usage</t>
  </si>
  <si>
    <t>README is missing or insufficient for setup/run.</t>
  </si>
  <si>
    <t>README exists, but key setup, run, or usage details are missing.</t>
  </si>
  <si>
    <t>README clearly covers setup, run, usage, and quick start.</t>
  </si>
  <si>
    <t>Prior rubric: README with installation steps and usage examples.</t>
  </si>
  <si>
    <t>GD3</t>
  </si>
  <si>
    <t>Method / architecture documentation</t>
  </si>
  <si>
    <t>System or method is unclear from the repository.</t>
  </si>
  <si>
    <t>Some documentation exists, but the architecture/method is not fully understandable.</t>
  </si>
  <si>
    <t>Documentation makes the system/method understandable without digging through code.</t>
  </si>
  <si>
    <t>Prior rubric: system architecture and documentation.</t>
  </si>
  <si>
    <t>GD4</t>
  </si>
  <si>
    <t>Results tables, logs, experiment notes, ablations</t>
  </si>
  <si>
    <t>No real experiment record or result trace is documented.</t>
  </si>
  <si>
    <t>Some results are shown, but logs/tables/ablations are incomplete.</t>
  </si>
  <si>
    <t>Baseline comparisons, results tables, logs, or ablations are clearly documented.</t>
  </si>
  <si>
    <t>Prior rubric: experiment notes, comparison tables, logs.</t>
  </si>
  <si>
    <t>GD5</t>
  </si>
  <si>
    <t>Data sources, limitations, ethics/compliance, deployment notes</t>
  </si>
  <si>
    <t>Important context such as data source, limitations, or deployment notes is missing.</t>
  </si>
  <si>
    <t>Some notes exist, but important context is still missing.</t>
  </si>
  <si>
    <t>Data sources, limitations, ethics/compliance, and deployment notes are documented.</t>
  </si>
  <si>
    <t>General ML limitation discussion + prior rubric deployment notes.</t>
  </si>
  <si>
    <t>PR1</t>
  </si>
  <si>
    <t>Problem framing and motivation clarity</t>
  </si>
  <si>
    <t>Audience cannot tell what the project is solving or why it matters.</t>
  </si>
  <si>
    <t>Problem is stated, but value/motivation is not crisp.</t>
  </si>
  <si>
    <t>Problem and motivation are immediately clear.</t>
  </si>
  <si>
    <t>Poster/final presentation expectations: problem definition.</t>
  </si>
  <si>
    <t>PR2</t>
  </si>
  <si>
    <t>Method / architecture explanation</t>
  </si>
  <si>
    <t>Pipeline explanation is confusing or incorrect.</t>
  </si>
  <si>
    <t>Mostly understandable, but key steps are missing or rushed.</t>
  </si>
  <si>
    <t>Method/architecture explanation is logical and technically clear.</t>
  </si>
  <si>
    <t>Presentation expectations: architecture, ML approach, deployment plan.</t>
  </si>
  <si>
    <t>PR3</t>
  </si>
  <si>
    <t>Results, demo, and visuals</t>
  </si>
  <si>
    <t>Demo/results are unclear, unreadable, or misleading.</t>
  </si>
  <si>
    <t>Some useful visuals/results are shown, but not fully clear.</t>
  </si>
  <si>
    <t>Results/demo visuals are clear, relevant, and honest about performance.</t>
  </si>
  <si>
    <t>Presentation expectations: evaluation, UI, results.</t>
  </si>
  <si>
    <t>PR4</t>
  </si>
  <si>
    <t>Q&amp;A and project ownership</t>
  </si>
  <si>
    <t>Team cannot answer basic technical questions.</t>
  </si>
  <si>
    <t>Team answers some questions, but shows important gaps or avoidance.</t>
  </si>
  <si>
    <t>Team answers questions directly and shows strong project ownership.</t>
  </si>
  <si>
    <t>Final presentation: 5 minutes + Q&amp;A.</t>
  </si>
  <si>
    <t>CI1</t>
  </si>
  <si>
    <t>Originality of idea or research angle</t>
  </si>
  <si>
    <t>Very derivative, with no meaningful original angle.</t>
  </si>
  <si>
    <t>Some novelty in framing or combination exists, but originality is limited.</t>
  </si>
  <si>
    <t>Clear original angle in idea, framing, or research question.</t>
  </si>
  <si>
    <t>Prior rubric: novelty / innovation.</t>
  </si>
  <si>
    <t>CI2</t>
  </si>
  <si>
    <t>Thoughtful design decisions and trade-offs</t>
  </si>
  <si>
    <t>Decisions appear arbitrary or unexamined.</t>
  </si>
  <si>
    <t>Some trade-offs are mentioned, but not thoughtfully justified.</t>
  </si>
  <si>
    <t>Design choices show thoughtful trade-off reasoning.</t>
  </si>
  <si>
    <t>Prior rubric: thoughtful design decisions.</t>
  </si>
  <si>
    <t>CI3</t>
  </si>
  <si>
    <t>Meaningful effort beyond minimum requirements</t>
  </si>
  <si>
    <t>Only the minimum requirements are met.</t>
  </si>
  <si>
    <t>Some extra effort exists, but impact is limited.</t>
  </si>
  <si>
    <t>Meaningful effort beyond minimum requirements with clear value.</t>
  </si>
  <si>
    <t>Prior rubric: effort beyond the basic requirements.</t>
  </si>
  <si>
    <t>CI4</t>
  </si>
  <si>
    <t>Purposeful extra technical features or polish</t>
  </si>
  <si>
    <t>Extras are absent or gimmicky.</t>
  </si>
  <si>
    <t>Extras exist, but are weakly integrated.</t>
  </si>
  <si>
    <t>Extra technical features or polish are purposeful and well integrated.</t>
  </si>
  <si>
    <t>Prior rubric: extra technical features, polished design.</t>
  </si>
  <si>
    <t>BX1</t>
  </si>
  <si>
    <t>Optional bonus</t>
  </si>
  <si>
    <t>Edge/mobile deployment under real constraints</t>
  </si>
  <si>
    <t>Not present, simulated without constraints, or unjustified.</t>
  </si>
  <si>
    <t>Some real edge/mobile work exists, but constraints or justification are weak.</t>
  </si>
  <si>
    <t>Real edge/mobile deployment or on-device inference under meaningful constraints is justified.</t>
  </si>
  <si>
    <t>Announcement bonus: edge/mobile deployment gets positive consideration.</t>
  </si>
  <si>
    <t>BX2</t>
  </si>
  <si>
    <t>Responsible ML materially beyond minimum</t>
  </si>
  <si>
    <t>Only meets the minimum Responsible ML requirement or duplicates base-rubric work.</t>
  </si>
  <si>
    <t>Goes somewhat beyond minimum with at least one extra check, tool, or experiment.</t>
  </si>
  <si>
    <t>Materially exceeds minimum with strong additional analysis/tooling across responsible ML dimensions.</t>
  </si>
  <si>
    <t>Optional bonus aligned with responsible ML depth; do not double count minimum required work.</t>
  </si>
  <si>
    <t>BX3</t>
  </si>
  <si>
    <t>Exceptional extension beyond the base rubric</t>
  </si>
  <si>
    <t>No exceptional extension beyond the base rubric.</t>
  </si>
  <si>
    <t>One standout extension exists, but depth is moderate.</t>
  </si>
  <si>
    <t>Exceptional extension such as strong ablations, benchmark release, advanced tooling, or unusual production polish.</t>
  </si>
  <si>
    <t>Prior bonus idea: extra-mile work beyond base requirements.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</si>
</sst>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"/>
  </numFmts>
  <fonts count="9">
    <font>
      <sz val="11.0"/>
      <color theme="1"/>
      <name val="Calibri"/>
      <scheme val="minor"/>
    </font>
    <font>
      <b/>
      <sz val="14.0"/>
      <color theme="1"/>
      <name val="Calibri"/>
      <scheme val="minor"/>
    </font>
    <font/>
    <font>
      <b/>
      <color theme="1"/>
      <name val="Calibri"/>
      <scheme val="minor"/>
    </font>
    <font>
      <sz val="11.0"/>
      <color theme="1"/>
      <name val="Calibri"/>
    </font>
    <font>
      <b/>
      <sz val="12.0"/>
      <color theme="1"/>
      <name val="Calibri"/>
      <scheme val="minor"/>
    </font>
    <font>
      <b/>
      <color rgb="FFFFFFFF"/>
      <name val="Calibri"/>
      <scheme val="minor"/>
    </font>
    <font>
      <color rgb="FF0000FF"/>
      <name val="Calibri"/>
      <scheme val="minor"/>
    </font>
    <font>
      <color rgb="FF000000"/>
      <name val="Calibri"/>
      <scheme val="minor"/>
    </font>
  </fonts>
  <fills count="17">
    <fill>
      <patternFill patternType="none"/>
    </fill>
    <fill>
      <patternFill patternType="lightGray"/>
    </fill>
    <fill>
      <patternFill patternType="solid">
        <fgColor rgb="FFD9EAF7"/>
        <bgColor rgb="FFD9EAF7"/>
      </patternFill>
    </fill>
    <fill>
      <patternFill patternType="solid">
        <fgColor rgb="FFFDE9E7"/>
        <bgColor rgb="FFFDE9E7"/>
      </patternFill>
    </fill>
    <fill>
      <patternFill patternType="solid">
        <fgColor rgb="FFFFF2CC"/>
        <bgColor rgb="FFFFF2CC"/>
      </patternFill>
    </fill>
    <fill>
      <patternFill patternType="solid">
        <fgColor rgb="FFE2F0D9"/>
        <bgColor rgb="FFE2F0D9"/>
      </patternFill>
    </fill>
    <fill>
      <patternFill patternType="solid">
        <fgColor rgb="FF1F4E78"/>
        <bgColor rgb="FF1F4E78"/>
      </patternFill>
    </fill>
    <fill>
      <patternFill patternType="solid">
        <fgColor rgb="FF5B3F8C"/>
        <bgColor rgb="FF5B3F8C"/>
      </patternFill>
    </fill>
    <fill>
      <patternFill patternType="solid">
        <fgColor rgb="FF0F766E"/>
        <bgColor rgb="FF0F766E"/>
      </patternFill>
    </fill>
    <fill>
      <patternFill patternType="solid">
        <fgColor rgb="FF1D6F42"/>
        <bgColor rgb="FF1D6F42"/>
      </patternFill>
    </fill>
    <fill>
      <patternFill patternType="solid">
        <fgColor rgb="FF4F6D7A"/>
        <bgColor rgb="FF4F6D7A"/>
      </patternFill>
    </fill>
    <fill>
      <patternFill patternType="solid">
        <fgColor rgb="FFB45F06"/>
        <bgColor rgb="FFB45F06"/>
      </patternFill>
    </fill>
    <fill>
      <patternFill patternType="solid">
        <fgColor rgb="FF38761D"/>
        <bgColor rgb="FF38761D"/>
      </patternFill>
    </fill>
    <fill>
      <patternFill patternType="solid">
        <fgColor rgb="FFBF9000"/>
        <bgColor rgb="FFBF9000"/>
      </patternFill>
    </fill>
    <fill>
      <patternFill patternType="solid">
        <fgColor rgb="FF434343"/>
        <bgColor rgb="FF434343"/>
      </patternFill>
    </fill>
    <fill>
      <patternFill patternType="solid">
        <fgColor rgb="FFEDEDED"/>
        <bgColor rgb="FFEDEDED"/>
      </patternFill>
    </fill>
    <fill>
      <patternFill patternType="solid">
        <fgColor rgb="FFF7FBFF"/>
        <bgColor rgb="FFF7FBFF"/>
      </patternFill>
    </fill>
  </fills>
  <borders count="6">
    <border/>
    <border>
      <left/>
      <top/>
      <bottom/>
    </border>
    <border>
      <top/>
      <bottom/>
    </border>
    <border>
      <right/>
      <top/>
      <bottom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</border>
    <border>
      <bottom style="medium">
        <color rgb="FFFFFFFF"/>
      </bottom>
    </border>
  </borders>
  <cellStyleXfs count="1">
    <xf borderId="0" fillId="0" fontId="0" numFmtId="0" applyAlignment="1" applyFont="1"/>
  </cellStyleXfs>
  <cellXfs count="40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left" vertical="center"/>
    </xf>
    <xf borderId="2" fillId="0" fontId="2" numFmtId="0" xfId="0" applyBorder="1" applyFont="1"/>
    <xf borderId="3" fillId="0" fontId="2" numFmtId="0" xfId="0" applyBorder="1" applyFont="1"/>
    <xf borderId="4" fillId="2" fontId="3" numFmtId="0" xfId="0" applyAlignment="1" applyBorder="1" applyFont="1">
      <alignment horizontal="left" vertical="center"/>
    </xf>
    <xf borderId="4" fillId="0" fontId="4" numFmtId="0" xfId="0" applyAlignment="1" applyBorder="1" applyFont="1">
      <alignment horizontal="left" shrinkToFit="0" vertical="top" wrapText="1"/>
    </xf>
    <xf borderId="0" fillId="0" fontId="4" numFmtId="0" xfId="0" applyFont="1"/>
    <xf borderId="0" fillId="2" fontId="5" numFmtId="0" xfId="0" applyAlignment="1" applyFont="1">
      <alignment horizontal="left" vertical="center"/>
    </xf>
    <xf borderId="4" fillId="3" fontId="4" numFmtId="0" xfId="0" applyAlignment="1" applyBorder="1" applyFill="1" applyFont="1">
      <alignment horizontal="center" vertical="center"/>
    </xf>
    <xf borderId="4" fillId="0" fontId="4" numFmtId="0" xfId="0" applyAlignment="1" applyBorder="1" applyFont="1">
      <alignment horizontal="left" vertical="center"/>
    </xf>
    <xf borderId="4" fillId="4" fontId="4" numFmtId="0" xfId="0" applyAlignment="1" applyBorder="1" applyFill="1" applyFont="1">
      <alignment horizontal="center" vertical="center"/>
    </xf>
    <xf borderId="4" fillId="5" fontId="4" numFmtId="0" xfId="0" applyAlignment="1" applyBorder="1" applyFill="1" applyFont="1">
      <alignment horizontal="center" vertical="center"/>
    </xf>
    <xf borderId="5" fillId="6" fontId="6" numFmtId="0" xfId="0" applyAlignment="1" applyBorder="1" applyFill="1" applyFont="1">
      <alignment horizontal="center" vertical="center"/>
    </xf>
    <xf borderId="5" fillId="0" fontId="2" numFmtId="0" xfId="0" applyBorder="1" applyFont="1"/>
    <xf borderId="5" fillId="7" fontId="6" numFmtId="0" xfId="0" applyAlignment="1" applyBorder="1" applyFill="1" applyFont="1">
      <alignment horizontal="center" vertical="center"/>
    </xf>
    <xf borderId="5" fillId="8" fontId="6" numFmtId="0" xfId="0" applyAlignment="1" applyBorder="1" applyFill="1" applyFont="1">
      <alignment horizontal="center" vertical="center"/>
    </xf>
    <xf borderId="5" fillId="9" fontId="6" numFmtId="0" xfId="0" applyAlignment="1" applyBorder="1" applyFill="1" applyFont="1">
      <alignment horizontal="center" vertical="center"/>
    </xf>
    <xf borderId="5" fillId="10" fontId="6" numFmtId="0" xfId="0" applyAlignment="1" applyBorder="1" applyFill="1" applyFont="1">
      <alignment horizontal="center" vertical="center"/>
    </xf>
    <xf borderId="5" fillId="11" fontId="6" numFmtId="0" xfId="0" applyAlignment="1" applyBorder="1" applyFill="1" applyFont="1">
      <alignment horizontal="center" vertical="center"/>
    </xf>
    <xf borderId="5" fillId="12" fontId="6" numFmtId="0" xfId="0" applyAlignment="1" applyBorder="1" applyFill="1" applyFont="1">
      <alignment horizontal="center" vertical="center"/>
    </xf>
    <xf borderId="5" fillId="13" fontId="6" numFmtId="0" xfId="0" applyAlignment="1" applyBorder="1" applyFill="1" applyFont="1">
      <alignment horizontal="center" vertical="center"/>
    </xf>
    <xf borderId="5" fillId="14" fontId="6" numFmtId="0" xfId="0" applyAlignment="1" applyBorder="1" applyFill="1" applyFont="1">
      <alignment horizontal="center" vertical="center"/>
    </xf>
    <xf borderId="4" fillId="2" fontId="3" numFmtId="0" xfId="0" applyAlignment="1" applyBorder="1" applyFont="1">
      <alignment horizontal="center" shrinkToFit="0" vertical="center" wrapText="1"/>
    </xf>
    <xf borderId="4" fillId="7" fontId="6" numFmtId="0" xfId="0" applyAlignment="1" applyBorder="1" applyFont="1">
      <alignment horizontal="center" shrinkToFit="0" vertical="center" wrapText="1"/>
    </xf>
    <xf borderId="4" fillId="8" fontId="6" numFmtId="0" xfId="0" applyAlignment="1" applyBorder="1" applyFont="1">
      <alignment horizontal="center" shrinkToFit="0" vertical="center" wrapText="1"/>
    </xf>
    <xf borderId="4" fillId="9" fontId="6" numFmtId="0" xfId="0" applyAlignment="1" applyBorder="1" applyFont="1">
      <alignment horizontal="center" shrinkToFit="0" vertical="center" wrapText="1"/>
    </xf>
    <xf borderId="4" fillId="10" fontId="6" numFmtId="0" xfId="0" applyAlignment="1" applyBorder="1" applyFont="1">
      <alignment horizontal="center" shrinkToFit="0" vertical="center" wrapText="1"/>
    </xf>
    <xf borderId="4" fillId="11" fontId="6" numFmtId="0" xfId="0" applyAlignment="1" applyBorder="1" applyFont="1">
      <alignment horizontal="center" shrinkToFit="0" vertical="center" wrapText="1"/>
    </xf>
    <xf borderId="4" fillId="12" fontId="6" numFmtId="0" xfId="0" applyAlignment="1" applyBorder="1" applyFont="1">
      <alignment horizontal="center" shrinkToFit="0" vertical="center" wrapText="1"/>
    </xf>
    <xf borderId="4" fillId="13" fontId="6" numFmtId="0" xfId="0" applyAlignment="1" applyBorder="1" applyFont="1">
      <alignment horizontal="center" shrinkToFit="0" vertical="center" wrapText="1"/>
    </xf>
    <xf borderId="4" fillId="15" fontId="3" numFmtId="0" xfId="0" applyAlignment="1" applyBorder="1" applyFill="1" applyFont="1">
      <alignment horizontal="center" shrinkToFit="0" vertical="center" wrapText="1"/>
    </xf>
    <xf borderId="4" fillId="16" fontId="7" numFmtId="0" xfId="0" applyAlignment="1" applyBorder="1" applyFill="1" applyFont="1">
      <alignment horizontal="center" vertical="center"/>
    </xf>
    <xf borderId="4" fillId="16" fontId="7" numFmtId="0" xfId="0" applyAlignment="1" applyBorder="1" applyFont="1">
      <alignment horizontal="left" vertical="center"/>
    </xf>
    <xf borderId="4" fillId="16" fontId="7" numFmtId="0" xfId="0" applyAlignment="1" applyBorder="1" applyFont="1">
      <alignment horizontal="left" shrinkToFit="0" vertical="top" wrapText="1"/>
    </xf>
    <xf borderId="4" fillId="0" fontId="8" numFmtId="1" xfId="0" applyAlignment="1" applyBorder="1" applyFont="1" applyNumberFormat="1">
      <alignment horizontal="center" vertical="center"/>
    </xf>
    <xf borderId="4" fillId="0" fontId="8" numFmtId="164" xfId="0" applyAlignment="1" applyBorder="1" applyFont="1" applyNumberFormat="1">
      <alignment horizontal="center" vertical="center"/>
    </xf>
    <xf borderId="4" fillId="0" fontId="8" numFmtId="0" xfId="0" applyAlignment="1" applyBorder="1" applyFont="1">
      <alignment horizontal="center" vertical="center"/>
    </xf>
    <xf borderId="1" fillId="4" fontId="3" numFmtId="0" xfId="0" applyAlignment="1" applyBorder="1" applyFont="1">
      <alignment horizontal="left" shrinkToFit="0" vertical="top" wrapText="1"/>
    </xf>
    <xf borderId="4" fillId="0" fontId="8" numFmtId="0" xfId="0" applyAlignment="1" applyBorder="1" applyFont="1">
      <alignment horizontal="left" vertical="center"/>
    </xf>
    <xf borderId="4" fillId="0" fontId="8" numFmtId="0" xfId="0" applyAlignment="1" applyBorder="1" applyFont="1">
      <alignment horizontal="left" shrinkToFit="0" vertical="top" wrapText="1"/>
    </xf>
  </cellXfs>
  <cellStyles count="1">
    <cellStyle xfId="0" name="Normal" builtinId="0"/>
  </cellStyles>
  <dxfs count="5">
    <dxf>
      <font/>
      <fill>
        <patternFill patternType="solid">
          <fgColor rgb="FFFDE9E7"/>
          <bgColor rgb="FFFDE9E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EDEDED"/>
          <bgColor rgb="FFEDEDED"/>
        </patternFill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49.43"/>
    <col customWidth="1" min="2" max="2" width="98.0"/>
    <col customWidth="1" min="3" max="26" width="8.71"/>
  </cols>
  <sheetData>
    <row r="1">
      <c r="A1" s="1" t="s">
        <v>0</v>
      </c>
      <c r="B1" s="2"/>
      <c r="C1" s="2"/>
      <c r="D1" s="3"/>
    </row>
    <row r="2" ht="42.0" customHeight="1">
      <c r="A2" s="4" t="s">
        <v>1</v>
      </c>
      <c r="B2" s="5" t="s">
        <v>2</v>
      </c>
    </row>
    <row r="3" ht="42.0" customHeight="1">
      <c r="A3" s="4" t="s">
        <v>3</v>
      </c>
      <c r="B3" s="5" t="s">
        <v>4</v>
      </c>
    </row>
    <row r="4" ht="42.0" customHeight="1">
      <c r="A4" s="4" t="s">
        <v>5</v>
      </c>
      <c r="B4" s="5" t="s">
        <v>6</v>
      </c>
    </row>
    <row r="5" ht="42.0" customHeight="1">
      <c r="A5" s="4" t="s">
        <v>7</v>
      </c>
      <c r="B5" s="5" t="s">
        <v>8</v>
      </c>
    </row>
    <row r="6" ht="42.0" customHeight="1">
      <c r="A6" s="4" t="s">
        <v>9</v>
      </c>
      <c r="B6" s="5" t="s">
        <v>10</v>
      </c>
    </row>
    <row r="7" ht="42.0" customHeight="1">
      <c r="A7" s="4" t="s">
        <v>11</v>
      </c>
      <c r="B7" s="5" t="s">
        <v>12</v>
      </c>
    </row>
    <row r="8" ht="42.0" customHeight="1">
      <c r="A8" s="4" t="s">
        <v>13</v>
      </c>
      <c r="B8" s="5" t="s">
        <v>14</v>
      </c>
    </row>
    <row r="9" ht="42.0" customHeight="1">
      <c r="A9" s="4" t="s">
        <v>15</v>
      </c>
      <c r="B9" s="5" t="s">
        <v>16</v>
      </c>
    </row>
    <row r="10" ht="42.0" customHeight="1">
      <c r="A10" s="4" t="s">
        <v>17</v>
      </c>
      <c r="B10" s="5" t="s">
        <v>18</v>
      </c>
    </row>
    <row r="11">
      <c r="A11" s="6"/>
      <c r="B11" s="6"/>
    </row>
    <row r="12">
      <c r="A12" s="7" t="s">
        <v>19</v>
      </c>
      <c r="B12" s="6"/>
    </row>
    <row r="13">
      <c r="A13" s="8" t="s">
        <v>20</v>
      </c>
      <c r="B13" s="9" t="s">
        <v>21</v>
      </c>
    </row>
    <row r="14">
      <c r="A14" s="10" t="s">
        <v>22</v>
      </c>
      <c r="B14" s="9" t="s">
        <v>23</v>
      </c>
    </row>
    <row r="15">
      <c r="A15" s="11" t="s">
        <v>24</v>
      </c>
      <c r="B15" s="9" t="s">
        <v>25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0.0"/>
    <col customWidth="1" min="2" max="2" width="24.0"/>
    <col customWidth="1" min="3" max="3" width="26.0"/>
    <col customWidth="1" min="4" max="4" width="24.0"/>
    <col customWidth="1" min="5" max="6" width="10.0"/>
    <col customWidth="1" min="7" max="7" width="12.0"/>
    <col customWidth="1" min="8" max="8" width="30.0"/>
    <col customWidth="1" min="9" max="64" width="12.0"/>
    <col customWidth="1" min="65" max="66" width="18.0"/>
    <col customWidth="1" min="67" max="67" width="24.0"/>
  </cols>
  <sheetData>
    <row r="1" ht="27.75" customHeight="1">
      <c r="A1" s="12" t="s">
        <v>26</v>
      </c>
      <c r="B1" s="13"/>
      <c r="C1" s="13"/>
      <c r="D1" s="13"/>
      <c r="E1" s="13"/>
      <c r="F1" s="13"/>
      <c r="G1" s="13"/>
      <c r="H1" s="13"/>
      <c r="I1" s="14" t="s">
        <v>27</v>
      </c>
      <c r="J1" s="13"/>
      <c r="K1" s="13"/>
      <c r="L1" s="13"/>
      <c r="M1" s="13"/>
      <c r="N1" s="13"/>
      <c r="O1" s="13"/>
      <c r="P1" s="15" t="s">
        <v>28</v>
      </c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6" t="s">
        <v>29</v>
      </c>
      <c r="AF1" s="13"/>
      <c r="AG1" s="13"/>
      <c r="AH1" s="13"/>
      <c r="AI1" s="13"/>
      <c r="AJ1" s="17" t="s">
        <v>30</v>
      </c>
      <c r="AK1" s="13"/>
      <c r="AL1" s="13"/>
      <c r="AM1" s="13"/>
      <c r="AN1" s="13"/>
      <c r="AO1" s="18" t="s">
        <v>31</v>
      </c>
      <c r="AP1" s="13"/>
      <c r="AQ1" s="13"/>
      <c r="AR1" s="13"/>
      <c r="AS1" s="19" t="s">
        <v>32</v>
      </c>
      <c r="AT1" s="13"/>
      <c r="AU1" s="13"/>
      <c r="AV1" s="13"/>
      <c r="AW1" s="20" t="s">
        <v>33</v>
      </c>
      <c r="AX1" s="13"/>
      <c r="AY1" s="13"/>
      <c r="AZ1" s="21" t="s">
        <v>34</v>
      </c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</row>
    <row r="2">
      <c r="A2" s="22" t="s">
        <v>35</v>
      </c>
      <c r="B2" s="22" t="s">
        <v>36</v>
      </c>
      <c r="C2" s="22" t="s">
        <v>37</v>
      </c>
      <c r="D2" s="22" t="s">
        <v>38</v>
      </c>
      <c r="E2" s="22" t="s">
        <v>39</v>
      </c>
      <c r="F2" s="22" t="s">
        <v>40</v>
      </c>
      <c r="G2" s="22" t="s">
        <v>41</v>
      </c>
      <c r="H2" s="22" t="s">
        <v>42</v>
      </c>
      <c r="I2" s="23" t="s">
        <v>43</v>
      </c>
      <c r="J2" s="23" t="s">
        <v>44</v>
      </c>
      <c r="K2" s="23" t="s">
        <v>45</v>
      </c>
      <c r="L2" s="23" t="s">
        <v>46</v>
      </c>
      <c r="M2" s="23" t="s">
        <v>47</v>
      </c>
      <c r="N2" s="23" t="s">
        <v>48</v>
      </c>
      <c r="O2" s="23" t="s">
        <v>49</v>
      </c>
      <c r="P2" s="24" t="s">
        <v>50</v>
      </c>
      <c r="Q2" s="24" t="s">
        <v>51</v>
      </c>
      <c r="R2" s="24" t="s">
        <v>52</v>
      </c>
      <c r="S2" s="24" t="s">
        <v>53</v>
      </c>
      <c r="T2" s="24" t="s">
        <v>54</v>
      </c>
      <c r="U2" s="24" t="s">
        <v>55</v>
      </c>
      <c r="V2" s="24" t="s">
        <v>56</v>
      </c>
      <c r="W2" s="24" t="s">
        <v>57</v>
      </c>
      <c r="X2" s="24" t="s">
        <v>58</v>
      </c>
      <c r="Y2" s="24" t="s">
        <v>59</v>
      </c>
      <c r="Z2" s="24" t="s">
        <v>60</v>
      </c>
      <c r="AA2" s="24" t="s">
        <v>61</v>
      </c>
      <c r="AB2" s="24" t="s">
        <v>62</v>
      </c>
      <c r="AC2" s="24" t="s">
        <v>63</v>
      </c>
      <c r="AD2" s="24" t="s">
        <v>64</v>
      </c>
      <c r="AE2" s="25" t="s">
        <v>65</v>
      </c>
      <c r="AF2" s="25" t="s">
        <v>66</v>
      </c>
      <c r="AG2" s="25" t="s">
        <v>67</v>
      </c>
      <c r="AH2" s="25" t="s">
        <v>68</v>
      </c>
      <c r="AI2" s="25" t="s">
        <v>69</v>
      </c>
      <c r="AJ2" s="26" t="s">
        <v>70</v>
      </c>
      <c r="AK2" s="26" t="s">
        <v>71</v>
      </c>
      <c r="AL2" s="26" t="s">
        <v>72</v>
      </c>
      <c r="AM2" s="26" t="s">
        <v>73</v>
      </c>
      <c r="AN2" s="26" t="s">
        <v>74</v>
      </c>
      <c r="AO2" s="27" t="s">
        <v>75</v>
      </c>
      <c r="AP2" s="27" t="s">
        <v>76</v>
      </c>
      <c r="AQ2" s="27" t="s">
        <v>77</v>
      </c>
      <c r="AR2" s="27" t="s">
        <v>78</v>
      </c>
      <c r="AS2" s="28" t="s">
        <v>79</v>
      </c>
      <c r="AT2" s="28" t="s">
        <v>80</v>
      </c>
      <c r="AU2" s="28" t="s">
        <v>81</v>
      </c>
      <c r="AV2" s="28" t="s">
        <v>82</v>
      </c>
      <c r="AW2" s="29" t="s">
        <v>83</v>
      </c>
      <c r="AX2" s="29" t="s">
        <v>84</v>
      </c>
      <c r="AY2" s="29" t="s">
        <v>85</v>
      </c>
      <c r="AZ2" s="30" t="s">
        <v>86</v>
      </c>
      <c r="BA2" s="30" t="s">
        <v>87</v>
      </c>
      <c r="BB2" s="30" t="s">
        <v>88</v>
      </c>
      <c r="BC2" s="30" t="s">
        <v>89</v>
      </c>
      <c r="BD2" s="30" t="s">
        <v>90</v>
      </c>
      <c r="BE2" s="30" t="s">
        <v>91</v>
      </c>
      <c r="BF2" s="30" t="s">
        <v>92</v>
      </c>
      <c r="BG2" s="30" t="s">
        <v>93</v>
      </c>
      <c r="BH2" s="30" t="s">
        <v>94</v>
      </c>
      <c r="BI2" s="30" t="s">
        <v>95</v>
      </c>
      <c r="BJ2" s="30" t="s">
        <v>96</v>
      </c>
      <c r="BK2" s="30" t="s">
        <v>97</v>
      </c>
      <c r="BL2" s="30" t="s">
        <v>98</v>
      </c>
      <c r="BM2" s="30" t="s">
        <v>99</v>
      </c>
      <c r="BN2" s="30" t="s">
        <v>100</v>
      </c>
      <c r="BO2" s="30" t="s">
        <v>101</v>
      </c>
    </row>
    <row r="3">
      <c r="A3" s="31"/>
      <c r="B3" s="32"/>
      <c r="C3" s="32"/>
      <c r="D3" s="32"/>
      <c r="E3" s="31"/>
      <c r="F3" s="31"/>
      <c r="G3" s="31"/>
      <c r="H3" s="33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4" t="str">
        <f t="shared" ref="AZ3:AZ102" si="1">IF(COUNTA($A3:$H3)=0,"",IF($E3="A",34,IF($E3="B",35,""))+IF($F3="Y",2,0))</f>
        <v/>
      </c>
      <c r="BA3" s="34" t="str">
        <f t="shared" ref="BA3:BA102" si="2">IF($AZ3="","",IF(AND($E3="A",$F3="Y"),COUNT($I3,$J3,$L3,$N3,$O3,$P3,$Q3,$S3,$T3,$U3,$V3,$W3,$AA3,$AB3,$AC3,$AD3,$Y3,$Z3,$AE3,$AF3,$AG3,$AH3,$AI3,$AJ3,$AK3,$AL3,$AM3,$AN3,$AO3,$AP3,$AQ3,$AR3,$AS3,$AT3,$AU3,$AV3),IF(AND($E3="A",$F3&lt;&gt;"Y"),COUNT($I3,$J3,$L3,$N3,$O3,$P3,$Q3,$S3,$T3,$U3,$V3,$W3,$AA3,$AB3,$AC3,$AD3,$AE3,$AF3,$AG3,$AH3,$AI3,$AJ3,$AK3,$AL3,$AM3,$AN3,$AO3,$AP3,$AQ3,$AR3,$AS3,$AT3,$AU3,$AV3),IF(AND($E3="B",$F3="Y"),COUNT($I3,$K3,$M3,$N3,$O3,$P3,$R3,$S3,$T3,$U3,$V3,$W3,$X3,$AA3,$AB3,$AC3,$AD3,$Y3,$Z3,$AE3,$AF3,$AG3,$AH3,$AI3,$AJ3,$AK3,$AL3,$AM3,$AN3,$AO3,$AP3,$AQ3,$AR3,$AS3,$AT3,$AU3,$AV3),IF(AND($E3="B",$F3&lt;&gt;"Y"),COUNT($I3,$K3,$M3,$N3,$O3,$P3,$R3,$S3,$T3,$U3,$V3,$W3,$X3,$AA3,$AB3,$AC3,$AD3,$AE3,$AF3,$AG3,$AH3,$AI3,$AJ3,$AK3,$AL3,$AM3,$AN3,$AO3,$AP3,$AQ3,$AR3,$AS3,$AT3,$AU3,$AV3),"")))))</f>
        <v/>
      </c>
      <c r="BB3" s="34" t="str">
        <f t="shared" ref="BB3:BB102" si="3">IF($AZ3="","",$AZ3-$BA3)</f>
        <v/>
      </c>
      <c r="BC3" s="35" t="str">
        <f t="shared" ref="BC3:BC102" si="4">IF($E3="A",IF(COUNT($I3,$J3,$L3,$N3,$O3)=0,"",ROUND(SUM($I3,$J3,$L3,$N3,$O3)/COUNT($I3,$J3,$L3,$N3,$O3)*5,2)),IF($E3="B",IF(COUNT($I3,$K3,$M3,$N3,$O3)=0,"",ROUND(SUM($I3,$K3,$M3,$N3,$O3)/COUNT($I3,$K3,$M3,$N3,$O3)*5,2)),""))</f>
        <v/>
      </c>
      <c r="BD3" s="35" t="str">
        <f t="shared" ref="BD3:BD102" si="5">IF(AND($E3="A",$F3="Y"),IF(COUNT($P3,$Q3,$S3,$T3,$U3,$V3,$W3,$AA3,$AB3,$AC3,$AD3,$Y3,$Z3)=0,"",ROUND(SUM($P3,$Q3,$S3,$T3,$U3,$V3,$W3,$AA3,$AB3,$AC3,$AD3,$Y3,$Z3)/COUNT($P3,$Q3,$S3,$T3,$U3,$V3,$W3,$AA3,$AB3,$AC3,$AD3,$Y3,$Z3)*5,2)),IF(AND($E3="A",$F3&lt;&gt;"Y"),IF(COUNT($P3,$Q3,$S3,$T3,$U3,$V3,$W3,$AA3,$AB3,$AC3,$AD3)=0,"",ROUND(SUM($P3,$Q3,$S3,$T3,$U3,$V3,$W3,$AA3,$AB3,$AC3,$AD3)/COUNT($P3,$Q3,$S3,$T3,$U3,$V3,$W3,$AA3,$AB3,$AC3,$AD3)*5,2)),IF(AND($E3="B",$F3="Y"),IF(COUNT($P3,$R3,$S3,$T3,$U3,$V3,$W3,$X3,$AA3,$AB3,$AC3,$AD3,$Y3,$Z3)=0,"",ROUND(SUM($P3,$R3,$S3,$T3,$U3,$V3,$W3,$X3,$AA3,$AB3,$AC3,$AD3,$Y3,$Z3)/COUNT($P3,$R3,$S3,$T3,$U3,$V3,$W3,$X3,$AA3,$AB3,$AC3,$AD3,$Y3,$Z3)*5,2)),IF(AND($E3="B",$F3&lt;&gt;"Y"),IF(COUNT($P3,$R3,$S3,$T3,$U3,$V3,$W3,$X3,$AA3,$AB3,$AC3,$AD3)=0,"",ROUND(SUM($P3,$R3,$S3,$T3,$U3,$V3,$W3,$X3,$AA3,$AB3,$AC3,$AD3)/COUNT($P3,$R3,$S3,$T3,$U3,$V3,$W3,$X3,$AA3,$AB3,$AC3,$AD3)*5,2)),""))))</f>
        <v/>
      </c>
      <c r="BE3" s="35" t="str">
        <f t="shared" ref="BE3:BE102" si="6">IF(COUNT($AE3,$AF3,$AG3,$AH3,$AI3)=0,"",ROUND(SUM($AE3,$AF3,$AG3,$AH3,$AI3)/COUNT($AE3,$AF3,$AG3,$AH3,$AI3)*5,2))</f>
        <v/>
      </c>
      <c r="BF3" s="35" t="str">
        <f t="shared" ref="BF3:BF102" si="7">IF(COUNT($AJ3,$AK3,$AL3,$AM3,$AN3)=0,"",ROUND(SUM($AJ3,$AK3,$AL3,$AM3,$AN3)/COUNT($AJ3,$AK3,$AL3,$AM3,$AN3)*5,2))</f>
        <v/>
      </c>
      <c r="BG3" s="35" t="str">
        <f t="shared" ref="BG3:BG102" si="8">IF(COUNT($AO3,$AP3,$AQ3,$AR3)=0,"",ROUND(SUM($AO3,$AP3,$AQ3,$AR3)/COUNT($AO3,$AP3,$AQ3,$AR3)*5,2))</f>
        <v/>
      </c>
      <c r="BH3" s="35" t="str">
        <f t="shared" ref="BH3:BH102" si="9">IF(COUNT($AS3,$AT3,$AU3,$AV3)=0,"",ROUND(SUM($AS3,$AT3,$AU3,$AV3)/COUNT($AS3,$AT3,$AU3,$AV3)*5,2))</f>
        <v/>
      </c>
      <c r="BI3" s="35" t="str">
        <f t="shared" ref="BI3:BI102" si="10">IF(OR($AZ3="",$BB3&gt;0,COUNT($I3:$AV3)&gt;$AZ3),"",ROUND($BC3/10*15+$BD3/10*30+$BE3/10*20+$BF3/10*15+$BG3/10*10+$BH3/10*10,2))</f>
        <v/>
      </c>
      <c r="BJ3" s="35" t="str">
        <f t="shared" ref="BJ3:BJ102" si="11">IF(COUNTA($A3:$H3)=0,"",ROUND(SUM($AW3:$AY3)/2,2))</f>
        <v/>
      </c>
      <c r="BK3" s="35" t="str">
        <f t="shared" ref="BK3:BK102" si="12">IF($BI3="","",ROUND($BI3+$BJ3,2))</f>
        <v/>
      </c>
      <c r="BL3" s="34" t="str">
        <f t="shared" ref="BL3:BL102" si="13">IF(COUNTA($A3:$H3)=0,"",COUNTIF($AA3:$AD3,"&gt;0"))</f>
        <v/>
      </c>
      <c r="BM3" s="36" t="str">
        <f t="shared" ref="BM3:BM102" si="14">IF(COUNTA($A3:$H3)=0,"",IF(COUNT($I3:$AV3)&gt;$AZ3,"Score only applicable columns",IF($BB3&gt;0,"Incomplete",IF($E3="A",IF(OR($I3=0,$J3=0,$L3=0,$Q3=0,$U3=0,$V3=0,$AE3=0,$AH3=0),"Check A mandatory","OK"),IF($E3="B",IF(OR($I3=0,$K3=0,$M3=0,$R3=0,$U3=0,$V3=0,$X3=0,$AE3=0),"Check B mandatory","OK"),"Set type")))))</f>
        <v/>
      </c>
      <c r="BN3" s="36" t="str">
        <f t="shared" ref="BN3:BN102" si="15">IF(COUNTA($A3:$H3)=0,"",IF($F3&lt;&gt;"Y","N/A",IF(COUNT($I3:$AV3)&gt;$AZ3,"Score only applicable columns",IF($BB3&gt;0,"Incomplete",IF(OR($Y3=0,$Z3=0),"Check graph req","OK")))))</f>
        <v/>
      </c>
      <c r="BO3" s="36" t="str">
        <f t="shared" ref="BO3:BO102" si="16">IF(COUNTA($A3:$H3)=0,"",IF(COUNT($I3:$AV3)&gt;$AZ3,"Score only applicable columns",IF($BB3&gt;0,"Finish scoring",IF($BL3&lt;3,"Responsible ML &lt;3 topics",IF($BM3&lt;&gt;"OK","Review mandatory req",IF(AND($F3="Y",$BN3&lt;&gt;"OK"),"Review graph req","OK"))))))</f>
        <v/>
      </c>
    </row>
    <row r="4">
      <c r="A4" s="31"/>
      <c r="B4" s="32"/>
      <c r="C4" s="32"/>
      <c r="D4" s="32"/>
      <c r="E4" s="31"/>
      <c r="F4" s="31"/>
      <c r="G4" s="31"/>
      <c r="H4" s="33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4" t="str">
        <f t="shared" si="1"/>
        <v/>
      </c>
      <c r="BA4" s="34" t="str">
        <f t="shared" si="2"/>
        <v/>
      </c>
      <c r="BB4" s="34" t="str">
        <f t="shared" si="3"/>
        <v/>
      </c>
      <c r="BC4" s="35" t="str">
        <f t="shared" si="4"/>
        <v/>
      </c>
      <c r="BD4" s="35" t="str">
        <f t="shared" si="5"/>
        <v/>
      </c>
      <c r="BE4" s="35" t="str">
        <f t="shared" si="6"/>
        <v/>
      </c>
      <c r="BF4" s="35" t="str">
        <f t="shared" si="7"/>
        <v/>
      </c>
      <c r="BG4" s="35" t="str">
        <f t="shared" si="8"/>
        <v/>
      </c>
      <c r="BH4" s="35" t="str">
        <f t="shared" si="9"/>
        <v/>
      </c>
      <c r="BI4" s="35" t="str">
        <f t="shared" si="10"/>
        <v/>
      </c>
      <c r="BJ4" s="35" t="str">
        <f t="shared" si="11"/>
        <v/>
      </c>
      <c r="BK4" s="35" t="str">
        <f t="shared" si="12"/>
        <v/>
      </c>
      <c r="BL4" s="34" t="str">
        <f t="shared" si="13"/>
        <v/>
      </c>
      <c r="BM4" s="36" t="str">
        <f t="shared" si="14"/>
        <v/>
      </c>
      <c r="BN4" s="36" t="str">
        <f t="shared" si="15"/>
        <v/>
      </c>
      <c r="BO4" s="36" t="str">
        <f t="shared" si="16"/>
        <v/>
      </c>
    </row>
    <row r="5">
      <c r="A5" s="31"/>
      <c r="B5" s="32"/>
      <c r="C5" s="32"/>
      <c r="D5" s="32"/>
      <c r="E5" s="31"/>
      <c r="F5" s="31"/>
      <c r="G5" s="31"/>
      <c r="H5" s="33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4" t="str">
        <f t="shared" si="1"/>
        <v/>
      </c>
      <c r="BA5" s="34" t="str">
        <f t="shared" si="2"/>
        <v/>
      </c>
      <c r="BB5" s="34" t="str">
        <f t="shared" si="3"/>
        <v/>
      </c>
      <c r="BC5" s="35" t="str">
        <f t="shared" si="4"/>
        <v/>
      </c>
      <c r="BD5" s="35" t="str">
        <f t="shared" si="5"/>
        <v/>
      </c>
      <c r="BE5" s="35" t="str">
        <f t="shared" si="6"/>
        <v/>
      </c>
      <c r="BF5" s="35" t="str">
        <f t="shared" si="7"/>
        <v/>
      </c>
      <c r="BG5" s="35" t="str">
        <f t="shared" si="8"/>
        <v/>
      </c>
      <c r="BH5" s="35" t="str">
        <f t="shared" si="9"/>
        <v/>
      </c>
      <c r="BI5" s="35" t="str">
        <f t="shared" si="10"/>
        <v/>
      </c>
      <c r="BJ5" s="35" t="str">
        <f t="shared" si="11"/>
        <v/>
      </c>
      <c r="BK5" s="35" t="str">
        <f t="shared" si="12"/>
        <v/>
      </c>
      <c r="BL5" s="34" t="str">
        <f t="shared" si="13"/>
        <v/>
      </c>
      <c r="BM5" s="36" t="str">
        <f t="shared" si="14"/>
        <v/>
      </c>
      <c r="BN5" s="36" t="str">
        <f t="shared" si="15"/>
        <v/>
      </c>
      <c r="BO5" s="36" t="str">
        <f t="shared" si="16"/>
        <v/>
      </c>
    </row>
    <row r="6">
      <c r="A6" s="31"/>
      <c r="B6" s="32"/>
      <c r="C6" s="32"/>
      <c r="D6" s="32"/>
      <c r="E6" s="31"/>
      <c r="F6" s="31"/>
      <c r="G6" s="31"/>
      <c r="H6" s="33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4" t="str">
        <f t="shared" si="1"/>
        <v/>
      </c>
      <c r="BA6" s="34" t="str">
        <f t="shared" si="2"/>
        <v/>
      </c>
      <c r="BB6" s="34" t="str">
        <f t="shared" si="3"/>
        <v/>
      </c>
      <c r="BC6" s="35" t="str">
        <f t="shared" si="4"/>
        <v/>
      </c>
      <c r="BD6" s="35" t="str">
        <f t="shared" si="5"/>
        <v/>
      </c>
      <c r="BE6" s="35" t="str">
        <f t="shared" si="6"/>
        <v/>
      </c>
      <c r="BF6" s="35" t="str">
        <f t="shared" si="7"/>
        <v/>
      </c>
      <c r="BG6" s="35" t="str">
        <f t="shared" si="8"/>
        <v/>
      </c>
      <c r="BH6" s="35" t="str">
        <f t="shared" si="9"/>
        <v/>
      </c>
      <c r="BI6" s="35" t="str">
        <f t="shared" si="10"/>
        <v/>
      </c>
      <c r="BJ6" s="35" t="str">
        <f t="shared" si="11"/>
        <v/>
      </c>
      <c r="BK6" s="35" t="str">
        <f t="shared" si="12"/>
        <v/>
      </c>
      <c r="BL6" s="34" t="str">
        <f t="shared" si="13"/>
        <v/>
      </c>
      <c r="BM6" s="36" t="str">
        <f t="shared" si="14"/>
        <v/>
      </c>
      <c r="BN6" s="36" t="str">
        <f t="shared" si="15"/>
        <v/>
      </c>
      <c r="BO6" s="36" t="str">
        <f t="shared" si="16"/>
        <v/>
      </c>
    </row>
    <row r="7">
      <c r="A7" s="31"/>
      <c r="B7" s="32"/>
      <c r="C7" s="32"/>
      <c r="D7" s="32"/>
      <c r="E7" s="31"/>
      <c r="F7" s="31"/>
      <c r="G7" s="31"/>
      <c r="H7" s="33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4" t="str">
        <f t="shared" si="1"/>
        <v/>
      </c>
      <c r="BA7" s="34" t="str">
        <f t="shared" si="2"/>
        <v/>
      </c>
      <c r="BB7" s="34" t="str">
        <f t="shared" si="3"/>
        <v/>
      </c>
      <c r="BC7" s="35" t="str">
        <f t="shared" si="4"/>
        <v/>
      </c>
      <c r="BD7" s="35" t="str">
        <f t="shared" si="5"/>
        <v/>
      </c>
      <c r="BE7" s="35" t="str">
        <f t="shared" si="6"/>
        <v/>
      </c>
      <c r="BF7" s="35" t="str">
        <f t="shared" si="7"/>
        <v/>
      </c>
      <c r="BG7" s="35" t="str">
        <f t="shared" si="8"/>
        <v/>
      </c>
      <c r="BH7" s="35" t="str">
        <f t="shared" si="9"/>
        <v/>
      </c>
      <c r="BI7" s="35" t="str">
        <f t="shared" si="10"/>
        <v/>
      </c>
      <c r="BJ7" s="35" t="str">
        <f t="shared" si="11"/>
        <v/>
      </c>
      <c r="BK7" s="35" t="str">
        <f t="shared" si="12"/>
        <v/>
      </c>
      <c r="BL7" s="34" t="str">
        <f t="shared" si="13"/>
        <v/>
      </c>
      <c r="BM7" s="36" t="str">
        <f t="shared" si="14"/>
        <v/>
      </c>
      <c r="BN7" s="36" t="str">
        <f t="shared" si="15"/>
        <v/>
      </c>
      <c r="BO7" s="36" t="str">
        <f t="shared" si="16"/>
        <v/>
      </c>
    </row>
    <row r="8">
      <c r="A8" s="31"/>
      <c r="B8" s="32"/>
      <c r="C8" s="32"/>
      <c r="D8" s="32"/>
      <c r="E8" s="31"/>
      <c r="F8" s="31"/>
      <c r="G8" s="31"/>
      <c r="H8" s="33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4" t="str">
        <f t="shared" si="1"/>
        <v/>
      </c>
      <c r="BA8" s="34" t="str">
        <f t="shared" si="2"/>
        <v/>
      </c>
      <c r="BB8" s="34" t="str">
        <f t="shared" si="3"/>
        <v/>
      </c>
      <c r="BC8" s="35" t="str">
        <f t="shared" si="4"/>
        <v/>
      </c>
      <c r="BD8" s="35" t="str">
        <f t="shared" si="5"/>
        <v/>
      </c>
      <c r="BE8" s="35" t="str">
        <f t="shared" si="6"/>
        <v/>
      </c>
      <c r="BF8" s="35" t="str">
        <f t="shared" si="7"/>
        <v/>
      </c>
      <c r="BG8" s="35" t="str">
        <f t="shared" si="8"/>
        <v/>
      </c>
      <c r="BH8" s="35" t="str">
        <f t="shared" si="9"/>
        <v/>
      </c>
      <c r="BI8" s="35" t="str">
        <f t="shared" si="10"/>
        <v/>
      </c>
      <c r="BJ8" s="35" t="str">
        <f t="shared" si="11"/>
        <v/>
      </c>
      <c r="BK8" s="35" t="str">
        <f t="shared" si="12"/>
        <v/>
      </c>
      <c r="BL8" s="34" t="str">
        <f t="shared" si="13"/>
        <v/>
      </c>
      <c r="BM8" s="36" t="str">
        <f t="shared" si="14"/>
        <v/>
      </c>
      <c r="BN8" s="36" t="str">
        <f t="shared" si="15"/>
        <v/>
      </c>
      <c r="BO8" s="36" t="str">
        <f t="shared" si="16"/>
        <v/>
      </c>
    </row>
    <row r="9">
      <c r="A9" s="31"/>
      <c r="B9" s="32"/>
      <c r="C9" s="32"/>
      <c r="D9" s="32"/>
      <c r="E9" s="31"/>
      <c r="F9" s="31"/>
      <c r="G9" s="31"/>
      <c r="H9" s="33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4" t="str">
        <f t="shared" si="1"/>
        <v/>
      </c>
      <c r="BA9" s="34" t="str">
        <f t="shared" si="2"/>
        <v/>
      </c>
      <c r="BB9" s="34" t="str">
        <f t="shared" si="3"/>
        <v/>
      </c>
      <c r="BC9" s="35" t="str">
        <f t="shared" si="4"/>
        <v/>
      </c>
      <c r="BD9" s="35" t="str">
        <f t="shared" si="5"/>
        <v/>
      </c>
      <c r="BE9" s="35" t="str">
        <f t="shared" si="6"/>
        <v/>
      </c>
      <c r="BF9" s="35" t="str">
        <f t="shared" si="7"/>
        <v/>
      </c>
      <c r="BG9" s="35" t="str">
        <f t="shared" si="8"/>
        <v/>
      </c>
      <c r="BH9" s="35" t="str">
        <f t="shared" si="9"/>
        <v/>
      </c>
      <c r="BI9" s="35" t="str">
        <f t="shared" si="10"/>
        <v/>
      </c>
      <c r="BJ9" s="35" t="str">
        <f t="shared" si="11"/>
        <v/>
      </c>
      <c r="BK9" s="35" t="str">
        <f t="shared" si="12"/>
        <v/>
      </c>
      <c r="BL9" s="34" t="str">
        <f t="shared" si="13"/>
        <v/>
      </c>
      <c r="BM9" s="36" t="str">
        <f t="shared" si="14"/>
        <v/>
      </c>
      <c r="BN9" s="36" t="str">
        <f t="shared" si="15"/>
        <v/>
      </c>
      <c r="BO9" s="36" t="str">
        <f t="shared" si="16"/>
        <v/>
      </c>
    </row>
    <row r="10">
      <c r="A10" s="31"/>
      <c r="B10" s="32"/>
      <c r="C10" s="32"/>
      <c r="D10" s="32"/>
      <c r="E10" s="31"/>
      <c r="F10" s="31"/>
      <c r="G10" s="31"/>
      <c r="H10" s="33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4" t="str">
        <f t="shared" si="1"/>
        <v/>
      </c>
      <c r="BA10" s="34" t="str">
        <f t="shared" si="2"/>
        <v/>
      </c>
      <c r="BB10" s="34" t="str">
        <f t="shared" si="3"/>
        <v/>
      </c>
      <c r="BC10" s="35" t="str">
        <f t="shared" si="4"/>
        <v/>
      </c>
      <c r="BD10" s="35" t="str">
        <f t="shared" si="5"/>
        <v/>
      </c>
      <c r="BE10" s="35" t="str">
        <f t="shared" si="6"/>
        <v/>
      </c>
      <c r="BF10" s="35" t="str">
        <f t="shared" si="7"/>
        <v/>
      </c>
      <c r="BG10" s="35" t="str">
        <f t="shared" si="8"/>
        <v/>
      </c>
      <c r="BH10" s="35" t="str">
        <f t="shared" si="9"/>
        <v/>
      </c>
      <c r="BI10" s="35" t="str">
        <f t="shared" si="10"/>
        <v/>
      </c>
      <c r="BJ10" s="35" t="str">
        <f t="shared" si="11"/>
        <v/>
      </c>
      <c r="BK10" s="35" t="str">
        <f t="shared" si="12"/>
        <v/>
      </c>
      <c r="BL10" s="34" t="str">
        <f t="shared" si="13"/>
        <v/>
      </c>
      <c r="BM10" s="36" t="str">
        <f t="shared" si="14"/>
        <v/>
      </c>
      <c r="BN10" s="36" t="str">
        <f t="shared" si="15"/>
        <v/>
      </c>
      <c r="BO10" s="36" t="str">
        <f t="shared" si="16"/>
        <v/>
      </c>
    </row>
    <row r="11">
      <c r="A11" s="31"/>
      <c r="B11" s="32"/>
      <c r="C11" s="32"/>
      <c r="D11" s="32"/>
      <c r="E11" s="31"/>
      <c r="F11" s="31"/>
      <c r="G11" s="31"/>
      <c r="H11" s="33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4" t="str">
        <f t="shared" si="1"/>
        <v/>
      </c>
      <c r="BA11" s="34" t="str">
        <f t="shared" si="2"/>
        <v/>
      </c>
      <c r="BB11" s="34" t="str">
        <f t="shared" si="3"/>
        <v/>
      </c>
      <c r="BC11" s="35" t="str">
        <f t="shared" si="4"/>
        <v/>
      </c>
      <c r="BD11" s="35" t="str">
        <f t="shared" si="5"/>
        <v/>
      </c>
      <c r="BE11" s="35" t="str">
        <f t="shared" si="6"/>
        <v/>
      </c>
      <c r="BF11" s="35" t="str">
        <f t="shared" si="7"/>
        <v/>
      </c>
      <c r="BG11" s="35" t="str">
        <f t="shared" si="8"/>
        <v/>
      </c>
      <c r="BH11" s="35" t="str">
        <f t="shared" si="9"/>
        <v/>
      </c>
      <c r="BI11" s="35" t="str">
        <f t="shared" si="10"/>
        <v/>
      </c>
      <c r="BJ11" s="35" t="str">
        <f t="shared" si="11"/>
        <v/>
      </c>
      <c r="BK11" s="35" t="str">
        <f t="shared" si="12"/>
        <v/>
      </c>
      <c r="BL11" s="34" t="str">
        <f t="shared" si="13"/>
        <v/>
      </c>
      <c r="BM11" s="36" t="str">
        <f t="shared" si="14"/>
        <v/>
      </c>
      <c r="BN11" s="36" t="str">
        <f t="shared" si="15"/>
        <v/>
      </c>
      <c r="BO11" s="36" t="str">
        <f t="shared" si="16"/>
        <v/>
      </c>
    </row>
    <row r="12">
      <c r="A12" s="31"/>
      <c r="B12" s="32"/>
      <c r="C12" s="32"/>
      <c r="D12" s="32"/>
      <c r="E12" s="31"/>
      <c r="F12" s="31"/>
      <c r="G12" s="31"/>
      <c r="H12" s="33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4" t="str">
        <f t="shared" si="1"/>
        <v/>
      </c>
      <c r="BA12" s="34" t="str">
        <f t="shared" si="2"/>
        <v/>
      </c>
      <c r="BB12" s="34" t="str">
        <f t="shared" si="3"/>
        <v/>
      </c>
      <c r="BC12" s="35" t="str">
        <f t="shared" si="4"/>
        <v/>
      </c>
      <c r="BD12" s="35" t="str">
        <f t="shared" si="5"/>
        <v/>
      </c>
      <c r="BE12" s="35" t="str">
        <f t="shared" si="6"/>
        <v/>
      </c>
      <c r="BF12" s="35" t="str">
        <f t="shared" si="7"/>
        <v/>
      </c>
      <c r="BG12" s="35" t="str">
        <f t="shared" si="8"/>
        <v/>
      </c>
      <c r="BH12" s="35" t="str">
        <f t="shared" si="9"/>
        <v/>
      </c>
      <c r="BI12" s="35" t="str">
        <f t="shared" si="10"/>
        <v/>
      </c>
      <c r="BJ12" s="35" t="str">
        <f t="shared" si="11"/>
        <v/>
      </c>
      <c r="BK12" s="35" t="str">
        <f t="shared" si="12"/>
        <v/>
      </c>
      <c r="BL12" s="34" t="str">
        <f t="shared" si="13"/>
        <v/>
      </c>
      <c r="BM12" s="36" t="str">
        <f t="shared" si="14"/>
        <v/>
      </c>
      <c r="BN12" s="36" t="str">
        <f t="shared" si="15"/>
        <v/>
      </c>
      <c r="BO12" s="36" t="str">
        <f t="shared" si="16"/>
        <v/>
      </c>
    </row>
    <row r="13">
      <c r="A13" s="31"/>
      <c r="B13" s="32"/>
      <c r="C13" s="32"/>
      <c r="D13" s="32"/>
      <c r="E13" s="31"/>
      <c r="F13" s="31"/>
      <c r="G13" s="31"/>
      <c r="H13" s="33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4" t="str">
        <f t="shared" si="1"/>
        <v/>
      </c>
      <c r="BA13" s="34" t="str">
        <f t="shared" si="2"/>
        <v/>
      </c>
      <c r="BB13" s="34" t="str">
        <f t="shared" si="3"/>
        <v/>
      </c>
      <c r="BC13" s="35" t="str">
        <f t="shared" si="4"/>
        <v/>
      </c>
      <c r="BD13" s="35" t="str">
        <f t="shared" si="5"/>
        <v/>
      </c>
      <c r="BE13" s="35" t="str">
        <f t="shared" si="6"/>
        <v/>
      </c>
      <c r="BF13" s="35" t="str">
        <f t="shared" si="7"/>
        <v/>
      </c>
      <c r="BG13" s="35" t="str">
        <f t="shared" si="8"/>
        <v/>
      </c>
      <c r="BH13" s="35" t="str">
        <f t="shared" si="9"/>
        <v/>
      </c>
      <c r="BI13" s="35" t="str">
        <f t="shared" si="10"/>
        <v/>
      </c>
      <c r="BJ13" s="35" t="str">
        <f t="shared" si="11"/>
        <v/>
      </c>
      <c r="BK13" s="35" t="str">
        <f t="shared" si="12"/>
        <v/>
      </c>
      <c r="BL13" s="34" t="str">
        <f t="shared" si="13"/>
        <v/>
      </c>
      <c r="BM13" s="36" t="str">
        <f t="shared" si="14"/>
        <v/>
      </c>
      <c r="BN13" s="36" t="str">
        <f t="shared" si="15"/>
        <v/>
      </c>
      <c r="BO13" s="36" t="str">
        <f t="shared" si="16"/>
        <v/>
      </c>
    </row>
    <row r="14">
      <c r="A14" s="31"/>
      <c r="B14" s="32"/>
      <c r="C14" s="32"/>
      <c r="D14" s="32"/>
      <c r="E14" s="31"/>
      <c r="F14" s="31"/>
      <c r="G14" s="31"/>
      <c r="H14" s="33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4" t="str">
        <f t="shared" si="1"/>
        <v/>
      </c>
      <c r="BA14" s="34" t="str">
        <f t="shared" si="2"/>
        <v/>
      </c>
      <c r="BB14" s="34" t="str">
        <f t="shared" si="3"/>
        <v/>
      </c>
      <c r="BC14" s="35" t="str">
        <f t="shared" si="4"/>
        <v/>
      </c>
      <c r="BD14" s="35" t="str">
        <f t="shared" si="5"/>
        <v/>
      </c>
      <c r="BE14" s="35" t="str">
        <f t="shared" si="6"/>
        <v/>
      </c>
      <c r="BF14" s="35" t="str">
        <f t="shared" si="7"/>
        <v/>
      </c>
      <c r="BG14" s="35" t="str">
        <f t="shared" si="8"/>
        <v/>
      </c>
      <c r="BH14" s="35" t="str">
        <f t="shared" si="9"/>
        <v/>
      </c>
      <c r="BI14" s="35" t="str">
        <f t="shared" si="10"/>
        <v/>
      </c>
      <c r="BJ14" s="35" t="str">
        <f t="shared" si="11"/>
        <v/>
      </c>
      <c r="BK14" s="35" t="str">
        <f t="shared" si="12"/>
        <v/>
      </c>
      <c r="BL14" s="34" t="str">
        <f t="shared" si="13"/>
        <v/>
      </c>
      <c r="BM14" s="36" t="str">
        <f t="shared" si="14"/>
        <v/>
      </c>
      <c r="BN14" s="36" t="str">
        <f t="shared" si="15"/>
        <v/>
      </c>
      <c r="BO14" s="36" t="str">
        <f t="shared" si="16"/>
        <v/>
      </c>
    </row>
    <row r="15">
      <c r="A15" s="31"/>
      <c r="B15" s="32"/>
      <c r="C15" s="32"/>
      <c r="D15" s="32"/>
      <c r="E15" s="31"/>
      <c r="F15" s="31"/>
      <c r="G15" s="31"/>
      <c r="H15" s="33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4" t="str">
        <f t="shared" si="1"/>
        <v/>
      </c>
      <c r="BA15" s="34" t="str">
        <f t="shared" si="2"/>
        <v/>
      </c>
      <c r="BB15" s="34" t="str">
        <f t="shared" si="3"/>
        <v/>
      </c>
      <c r="BC15" s="35" t="str">
        <f t="shared" si="4"/>
        <v/>
      </c>
      <c r="BD15" s="35" t="str">
        <f t="shared" si="5"/>
        <v/>
      </c>
      <c r="BE15" s="35" t="str">
        <f t="shared" si="6"/>
        <v/>
      </c>
      <c r="BF15" s="35" t="str">
        <f t="shared" si="7"/>
        <v/>
      </c>
      <c r="BG15" s="35" t="str">
        <f t="shared" si="8"/>
        <v/>
      </c>
      <c r="BH15" s="35" t="str">
        <f t="shared" si="9"/>
        <v/>
      </c>
      <c r="BI15" s="35" t="str">
        <f t="shared" si="10"/>
        <v/>
      </c>
      <c r="BJ15" s="35" t="str">
        <f t="shared" si="11"/>
        <v/>
      </c>
      <c r="BK15" s="35" t="str">
        <f t="shared" si="12"/>
        <v/>
      </c>
      <c r="BL15" s="34" t="str">
        <f t="shared" si="13"/>
        <v/>
      </c>
      <c r="BM15" s="36" t="str">
        <f t="shared" si="14"/>
        <v/>
      </c>
      <c r="BN15" s="36" t="str">
        <f t="shared" si="15"/>
        <v/>
      </c>
      <c r="BO15" s="36" t="str">
        <f t="shared" si="16"/>
        <v/>
      </c>
    </row>
    <row r="16">
      <c r="A16" s="31"/>
      <c r="B16" s="32"/>
      <c r="C16" s="32"/>
      <c r="D16" s="32"/>
      <c r="E16" s="31"/>
      <c r="F16" s="31"/>
      <c r="G16" s="31"/>
      <c r="H16" s="33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4" t="str">
        <f t="shared" si="1"/>
        <v/>
      </c>
      <c r="BA16" s="34" t="str">
        <f t="shared" si="2"/>
        <v/>
      </c>
      <c r="BB16" s="34" t="str">
        <f t="shared" si="3"/>
        <v/>
      </c>
      <c r="BC16" s="35" t="str">
        <f t="shared" si="4"/>
        <v/>
      </c>
      <c r="BD16" s="35" t="str">
        <f t="shared" si="5"/>
        <v/>
      </c>
      <c r="BE16" s="35" t="str">
        <f t="shared" si="6"/>
        <v/>
      </c>
      <c r="BF16" s="35" t="str">
        <f t="shared" si="7"/>
        <v/>
      </c>
      <c r="BG16" s="35" t="str">
        <f t="shared" si="8"/>
        <v/>
      </c>
      <c r="BH16" s="35" t="str">
        <f t="shared" si="9"/>
        <v/>
      </c>
      <c r="BI16" s="35" t="str">
        <f t="shared" si="10"/>
        <v/>
      </c>
      <c r="BJ16" s="35" t="str">
        <f t="shared" si="11"/>
        <v/>
      </c>
      <c r="BK16" s="35" t="str">
        <f t="shared" si="12"/>
        <v/>
      </c>
      <c r="BL16" s="34" t="str">
        <f t="shared" si="13"/>
        <v/>
      </c>
      <c r="BM16" s="36" t="str">
        <f t="shared" si="14"/>
        <v/>
      </c>
      <c r="BN16" s="36" t="str">
        <f t="shared" si="15"/>
        <v/>
      </c>
      <c r="BO16" s="36" t="str">
        <f t="shared" si="16"/>
        <v/>
      </c>
    </row>
    <row r="17">
      <c r="A17" s="31"/>
      <c r="B17" s="32"/>
      <c r="C17" s="32"/>
      <c r="D17" s="32"/>
      <c r="E17" s="31"/>
      <c r="F17" s="31"/>
      <c r="G17" s="31"/>
      <c r="H17" s="33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4" t="str">
        <f t="shared" si="1"/>
        <v/>
      </c>
      <c r="BA17" s="34" t="str">
        <f t="shared" si="2"/>
        <v/>
      </c>
      <c r="BB17" s="34" t="str">
        <f t="shared" si="3"/>
        <v/>
      </c>
      <c r="BC17" s="35" t="str">
        <f t="shared" si="4"/>
        <v/>
      </c>
      <c r="BD17" s="35" t="str">
        <f t="shared" si="5"/>
        <v/>
      </c>
      <c r="BE17" s="35" t="str">
        <f t="shared" si="6"/>
        <v/>
      </c>
      <c r="BF17" s="35" t="str">
        <f t="shared" si="7"/>
        <v/>
      </c>
      <c r="BG17" s="35" t="str">
        <f t="shared" si="8"/>
        <v/>
      </c>
      <c r="BH17" s="35" t="str">
        <f t="shared" si="9"/>
        <v/>
      </c>
      <c r="BI17" s="35" t="str">
        <f t="shared" si="10"/>
        <v/>
      </c>
      <c r="BJ17" s="35" t="str">
        <f t="shared" si="11"/>
        <v/>
      </c>
      <c r="BK17" s="35" t="str">
        <f t="shared" si="12"/>
        <v/>
      </c>
      <c r="BL17" s="34" t="str">
        <f t="shared" si="13"/>
        <v/>
      </c>
      <c r="BM17" s="36" t="str">
        <f t="shared" si="14"/>
        <v/>
      </c>
      <c r="BN17" s="36" t="str">
        <f t="shared" si="15"/>
        <v/>
      </c>
      <c r="BO17" s="36" t="str">
        <f t="shared" si="16"/>
        <v/>
      </c>
    </row>
    <row r="18">
      <c r="A18" s="31"/>
      <c r="B18" s="32"/>
      <c r="C18" s="32"/>
      <c r="D18" s="32"/>
      <c r="E18" s="31"/>
      <c r="F18" s="31"/>
      <c r="G18" s="31"/>
      <c r="H18" s="33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4" t="str">
        <f t="shared" si="1"/>
        <v/>
      </c>
      <c r="BA18" s="34" t="str">
        <f t="shared" si="2"/>
        <v/>
      </c>
      <c r="BB18" s="34" t="str">
        <f t="shared" si="3"/>
        <v/>
      </c>
      <c r="BC18" s="35" t="str">
        <f t="shared" si="4"/>
        <v/>
      </c>
      <c r="BD18" s="35" t="str">
        <f t="shared" si="5"/>
        <v/>
      </c>
      <c r="BE18" s="35" t="str">
        <f t="shared" si="6"/>
        <v/>
      </c>
      <c r="BF18" s="35" t="str">
        <f t="shared" si="7"/>
        <v/>
      </c>
      <c r="BG18" s="35" t="str">
        <f t="shared" si="8"/>
        <v/>
      </c>
      <c r="BH18" s="35" t="str">
        <f t="shared" si="9"/>
        <v/>
      </c>
      <c r="BI18" s="35" t="str">
        <f t="shared" si="10"/>
        <v/>
      </c>
      <c r="BJ18" s="35" t="str">
        <f t="shared" si="11"/>
        <v/>
      </c>
      <c r="BK18" s="35" t="str">
        <f t="shared" si="12"/>
        <v/>
      </c>
      <c r="BL18" s="34" t="str">
        <f t="shared" si="13"/>
        <v/>
      </c>
      <c r="BM18" s="36" t="str">
        <f t="shared" si="14"/>
        <v/>
      </c>
      <c r="BN18" s="36" t="str">
        <f t="shared" si="15"/>
        <v/>
      </c>
      <c r="BO18" s="36" t="str">
        <f t="shared" si="16"/>
        <v/>
      </c>
    </row>
    <row r="19">
      <c r="A19" s="31"/>
      <c r="B19" s="32"/>
      <c r="C19" s="32"/>
      <c r="D19" s="32"/>
      <c r="E19" s="31"/>
      <c r="F19" s="31"/>
      <c r="G19" s="31"/>
      <c r="H19" s="33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4" t="str">
        <f t="shared" si="1"/>
        <v/>
      </c>
      <c r="BA19" s="34" t="str">
        <f t="shared" si="2"/>
        <v/>
      </c>
      <c r="BB19" s="34" t="str">
        <f t="shared" si="3"/>
        <v/>
      </c>
      <c r="BC19" s="35" t="str">
        <f t="shared" si="4"/>
        <v/>
      </c>
      <c r="BD19" s="35" t="str">
        <f t="shared" si="5"/>
        <v/>
      </c>
      <c r="BE19" s="35" t="str">
        <f t="shared" si="6"/>
        <v/>
      </c>
      <c r="BF19" s="35" t="str">
        <f t="shared" si="7"/>
        <v/>
      </c>
      <c r="BG19" s="35" t="str">
        <f t="shared" si="8"/>
        <v/>
      </c>
      <c r="BH19" s="35" t="str">
        <f t="shared" si="9"/>
        <v/>
      </c>
      <c r="BI19" s="35" t="str">
        <f t="shared" si="10"/>
        <v/>
      </c>
      <c r="BJ19" s="35" t="str">
        <f t="shared" si="11"/>
        <v/>
      </c>
      <c r="BK19" s="35" t="str">
        <f t="shared" si="12"/>
        <v/>
      </c>
      <c r="BL19" s="34" t="str">
        <f t="shared" si="13"/>
        <v/>
      </c>
      <c r="BM19" s="36" t="str">
        <f t="shared" si="14"/>
        <v/>
      </c>
      <c r="BN19" s="36" t="str">
        <f t="shared" si="15"/>
        <v/>
      </c>
      <c r="BO19" s="36" t="str">
        <f t="shared" si="16"/>
        <v/>
      </c>
    </row>
    <row r="20">
      <c r="A20" s="31"/>
      <c r="B20" s="32"/>
      <c r="C20" s="32"/>
      <c r="D20" s="32"/>
      <c r="E20" s="31"/>
      <c r="F20" s="31"/>
      <c r="G20" s="31"/>
      <c r="H20" s="33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4" t="str">
        <f t="shared" si="1"/>
        <v/>
      </c>
      <c r="BA20" s="34" t="str">
        <f t="shared" si="2"/>
        <v/>
      </c>
      <c r="BB20" s="34" t="str">
        <f t="shared" si="3"/>
        <v/>
      </c>
      <c r="BC20" s="35" t="str">
        <f t="shared" si="4"/>
        <v/>
      </c>
      <c r="BD20" s="35" t="str">
        <f t="shared" si="5"/>
        <v/>
      </c>
      <c r="BE20" s="35" t="str">
        <f t="shared" si="6"/>
        <v/>
      </c>
      <c r="BF20" s="35" t="str">
        <f t="shared" si="7"/>
        <v/>
      </c>
      <c r="BG20" s="35" t="str">
        <f t="shared" si="8"/>
        <v/>
      </c>
      <c r="BH20" s="35" t="str">
        <f t="shared" si="9"/>
        <v/>
      </c>
      <c r="BI20" s="35" t="str">
        <f t="shared" si="10"/>
        <v/>
      </c>
      <c r="BJ20" s="35" t="str">
        <f t="shared" si="11"/>
        <v/>
      </c>
      <c r="BK20" s="35" t="str">
        <f t="shared" si="12"/>
        <v/>
      </c>
      <c r="BL20" s="34" t="str">
        <f t="shared" si="13"/>
        <v/>
      </c>
      <c r="BM20" s="36" t="str">
        <f t="shared" si="14"/>
        <v/>
      </c>
      <c r="BN20" s="36" t="str">
        <f t="shared" si="15"/>
        <v/>
      </c>
      <c r="BO20" s="36" t="str">
        <f t="shared" si="16"/>
        <v/>
      </c>
    </row>
    <row r="21" ht="15.75" customHeight="1">
      <c r="A21" s="31"/>
      <c r="B21" s="32"/>
      <c r="C21" s="32"/>
      <c r="D21" s="32"/>
      <c r="E21" s="31"/>
      <c r="F21" s="31"/>
      <c r="G21" s="31"/>
      <c r="H21" s="33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4" t="str">
        <f t="shared" si="1"/>
        <v/>
      </c>
      <c r="BA21" s="34" t="str">
        <f t="shared" si="2"/>
        <v/>
      </c>
      <c r="BB21" s="34" t="str">
        <f t="shared" si="3"/>
        <v/>
      </c>
      <c r="BC21" s="35" t="str">
        <f t="shared" si="4"/>
        <v/>
      </c>
      <c r="BD21" s="35" t="str">
        <f t="shared" si="5"/>
        <v/>
      </c>
      <c r="BE21" s="35" t="str">
        <f t="shared" si="6"/>
        <v/>
      </c>
      <c r="BF21" s="35" t="str">
        <f t="shared" si="7"/>
        <v/>
      </c>
      <c r="BG21" s="35" t="str">
        <f t="shared" si="8"/>
        <v/>
      </c>
      <c r="BH21" s="35" t="str">
        <f t="shared" si="9"/>
        <v/>
      </c>
      <c r="BI21" s="35" t="str">
        <f t="shared" si="10"/>
        <v/>
      </c>
      <c r="BJ21" s="35" t="str">
        <f t="shared" si="11"/>
        <v/>
      </c>
      <c r="BK21" s="35" t="str">
        <f t="shared" si="12"/>
        <v/>
      </c>
      <c r="BL21" s="34" t="str">
        <f t="shared" si="13"/>
        <v/>
      </c>
      <c r="BM21" s="36" t="str">
        <f t="shared" si="14"/>
        <v/>
      </c>
      <c r="BN21" s="36" t="str">
        <f t="shared" si="15"/>
        <v/>
      </c>
      <c r="BO21" s="36" t="str">
        <f t="shared" si="16"/>
        <v/>
      </c>
    </row>
    <row r="22" ht="15.75" customHeight="1">
      <c r="A22" s="31"/>
      <c r="B22" s="32"/>
      <c r="C22" s="32"/>
      <c r="D22" s="32"/>
      <c r="E22" s="31"/>
      <c r="F22" s="31"/>
      <c r="G22" s="31"/>
      <c r="H22" s="33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4" t="str">
        <f t="shared" si="1"/>
        <v/>
      </c>
      <c r="BA22" s="34" t="str">
        <f t="shared" si="2"/>
        <v/>
      </c>
      <c r="BB22" s="34" t="str">
        <f t="shared" si="3"/>
        <v/>
      </c>
      <c r="BC22" s="35" t="str">
        <f t="shared" si="4"/>
        <v/>
      </c>
      <c r="BD22" s="35" t="str">
        <f t="shared" si="5"/>
        <v/>
      </c>
      <c r="BE22" s="35" t="str">
        <f t="shared" si="6"/>
        <v/>
      </c>
      <c r="BF22" s="35" t="str">
        <f t="shared" si="7"/>
        <v/>
      </c>
      <c r="BG22" s="35" t="str">
        <f t="shared" si="8"/>
        <v/>
      </c>
      <c r="BH22" s="35" t="str">
        <f t="shared" si="9"/>
        <v/>
      </c>
      <c r="BI22" s="35" t="str">
        <f t="shared" si="10"/>
        <v/>
      </c>
      <c r="BJ22" s="35" t="str">
        <f t="shared" si="11"/>
        <v/>
      </c>
      <c r="BK22" s="35" t="str">
        <f t="shared" si="12"/>
        <v/>
      </c>
      <c r="BL22" s="34" t="str">
        <f t="shared" si="13"/>
        <v/>
      </c>
      <c r="BM22" s="36" t="str">
        <f t="shared" si="14"/>
        <v/>
      </c>
      <c r="BN22" s="36" t="str">
        <f t="shared" si="15"/>
        <v/>
      </c>
      <c r="BO22" s="36" t="str">
        <f t="shared" si="16"/>
        <v/>
      </c>
    </row>
    <row r="23" ht="15.75" customHeight="1">
      <c r="A23" s="31"/>
      <c r="B23" s="32"/>
      <c r="C23" s="32"/>
      <c r="D23" s="32"/>
      <c r="E23" s="31"/>
      <c r="F23" s="31"/>
      <c r="G23" s="31"/>
      <c r="H23" s="33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4" t="str">
        <f t="shared" si="1"/>
        <v/>
      </c>
      <c r="BA23" s="34" t="str">
        <f t="shared" si="2"/>
        <v/>
      </c>
      <c r="BB23" s="34" t="str">
        <f t="shared" si="3"/>
        <v/>
      </c>
      <c r="BC23" s="35" t="str">
        <f t="shared" si="4"/>
        <v/>
      </c>
      <c r="BD23" s="35" t="str">
        <f t="shared" si="5"/>
        <v/>
      </c>
      <c r="BE23" s="35" t="str">
        <f t="shared" si="6"/>
        <v/>
      </c>
      <c r="BF23" s="35" t="str">
        <f t="shared" si="7"/>
        <v/>
      </c>
      <c r="BG23" s="35" t="str">
        <f t="shared" si="8"/>
        <v/>
      </c>
      <c r="BH23" s="35" t="str">
        <f t="shared" si="9"/>
        <v/>
      </c>
      <c r="BI23" s="35" t="str">
        <f t="shared" si="10"/>
        <v/>
      </c>
      <c r="BJ23" s="35" t="str">
        <f t="shared" si="11"/>
        <v/>
      </c>
      <c r="BK23" s="35" t="str">
        <f t="shared" si="12"/>
        <v/>
      </c>
      <c r="BL23" s="34" t="str">
        <f t="shared" si="13"/>
        <v/>
      </c>
      <c r="BM23" s="36" t="str">
        <f t="shared" si="14"/>
        <v/>
      </c>
      <c r="BN23" s="36" t="str">
        <f t="shared" si="15"/>
        <v/>
      </c>
      <c r="BO23" s="36" t="str">
        <f t="shared" si="16"/>
        <v/>
      </c>
    </row>
    <row r="24" ht="15.75" customHeight="1">
      <c r="A24" s="31"/>
      <c r="B24" s="32"/>
      <c r="C24" s="32"/>
      <c r="D24" s="32"/>
      <c r="E24" s="31"/>
      <c r="F24" s="31"/>
      <c r="G24" s="31"/>
      <c r="H24" s="33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4" t="str">
        <f t="shared" si="1"/>
        <v/>
      </c>
      <c r="BA24" s="34" t="str">
        <f t="shared" si="2"/>
        <v/>
      </c>
      <c r="BB24" s="34" t="str">
        <f t="shared" si="3"/>
        <v/>
      </c>
      <c r="BC24" s="35" t="str">
        <f t="shared" si="4"/>
        <v/>
      </c>
      <c r="BD24" s="35" t="str">
        <f t="shared" si="5"/>
        <v/>
      </c>
      <c r="BE24" s="35" t="str">
        <f t="shared" si="6"/>
        <v/>
      </c>
      <c r="BF24" s="35" t="str">
        <f t="shared" si="7"/>
        <v/>
      </c>
      <c r="BG24" s="35" t="str">
        <f t="shared" si="8"/>
        <v/>
      </c>
      <c r="BH24" s="35" t="str">
        <f t="shared" si="9"/>
        <v/>
      </c>
      <c r="BI24" s="35" t="str">
        <f t="shared" si="10"/>
        <v/>
      </c>
      <c r="BJ24" s="35" t="str">
        <f t="shared" si="11"/>
        <v/>
      </c>
      <c r="BK24" s="35" t="str">
        <f t="shared" si="12"/>
        <v/>
      </c>
      <c r="BL24" s="34" t="str">
        <f t="shared" si="13"/>
        <v/>
      </c>
      <c r="BM24" s="36" t="str">
        <f t="shared" si="14"/>
        <v/>
      </c>
      <c r="BN24" s="36" t="str">
        <f t="shared" si="15"/>
        <v/>
      </c>
      <c r="BO24" s="36" t="str">
        <f t="shared" si="16"/>
        <v/>
      </c>
    </row>
    <row r="25" ht="15.75" customHeight="1">
      <c r="A25" s="31"/>
      <c r="B25" s="32"/>
      <c r="C25" s="32"/>
      <c r="D25" s="32"/>
      <c r="E25" s="31"/>
      <c r="F25" s="31"/>
      <c r="G25" s="31"/>
      <c r="H25" s="33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4" t="str">
        <f t="shared" si="1"/>
        <v/>
      </c>
      <c r="BA25" s="34" t="str">
        <f t="shared" si="2"/>
        <v/>
      </c>
      <c r="BB25" s="34" t="str">
        <f t="shared" si="3"/>
        <v/>
      </c>
      <c r="BC25" s="35" t="str">
        <f t="shared" si="4"/>
        <v/>
      </c>
      <c r="BD25" s="35" t="str">
        <f t="shared" si="5"/>
        <v/>
      </c>
      <c r="BE25" s="35" t="str">
        <f t="shared" si="6"/>
        <v/>
      </c>
      <c r="BF25" s="35" t="str">
        <f t="shared" si="7"/>
        <v/>
      </c>
      <c r="BG25" s="35" t="str">
        <f t="shared" si="8"/>
        <v/>
      </c>
      <c r="BH25" s="35" t="str">
        <f t="shared" si="9"/>
        <v/>
      </c>
      <c r="BI25" s="35" t="str">
        <f t="shared" si="10"/>
        <v/>
      </c>
      <c r="BJ25" s="35" t="str">
        <f t="shared" si="11"/>
        <v/>
      </c>
      <c r="BK25" s="35" t="str">
        <f t="shared" si="12"/>
        <v/>
      </c>
      <c r="BL25" s="34" t="str">
        <f t="shared" si="13"/>
        <v/>
      </c>
      <c r="BM25" s="36" t="str">
        <f t="shared" si="14"/>
        <v/>
      </c>
      <c r="BN25" s="36" t="str">
        <f t="shared" si="15"/>
        <v/>
      </c>
      <c r="BO25" s="36" t="str">
        <f t="shared" si="16"/>
        <v/>
      </c>
    </row>
    <row r="26" ht="15.75" customHeight="1">
      <c r="A26" s="31"/>
      <c r="B26" s="32"/>
      <c r="C26" s="32"/>
      <c r="D26" s="32"/>
      <c r="E26" s="31"/>
      <c r="F26" s="31"/>
      <c r="G26" s="31"/>
      <c r="H26" s="33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4" t="str">
        <f t="shared" si="1"/>
        <v/>
      </c>
      <c r="BA26" s="34" t="str">
        <f t="shared" si="2"/>
        <v/>
      </c>
      <c r="BB26" s="34" t="str">
        <f t="shared" si="3"/>
        <v/>
      </c>
      <c r="BC26" s="35" t="str">
        <f t="shared" si="4"/>
        <v/>
      </c>
      <c r="BD26" s="35" t="str">
        <f t="shared" si="5"/>
        <v/>
      </c>
      <c r="BE26" s="35" t="str">
        <f t="shared" si="6"/>
        <v/>
      </c>
      <c r="BF26" s="35" t="str">
        <f t="shared" si="7"/>
        <v/>
      </c>
      <c r="BG26" s="35" t="str">
        <f t="shared" si="8"/>
        <v/>
      </c>
      <c r="BH26" s="35" t="str">
        <f t="shared" si="9"/>
        <v/>
      </c>
      <c r="BI26" s="35" t="str">
        <f t="shared" si="10"/>
        <v/>
      </c>
      <c r="BJ26" s="35" t="str">
        <f t="shared" si="11"/>
        <v/>
      </c>
      <c r="BK26" s="35" t="str">
        <f t="shared" si="12"/>
        <v/>
      </c>
      <c r="BL26" s="34" t="str">
        <f t="shared" si="13"/>
        <v/>
      </c>
      <c r="BM26" s="36" t="str">
        <f t="shared" si="14"/>
        <v/>
      </c>
      <c r="BN26" s="36" t="str">
        <f t="shared" si="15"/>
        <v/>
      </c>
      <c r="BO26" s="36" t="str">
        <f t="shared" si="16"/>
        <v/>
      </c>
    </row>
    <row r="27" ht="15.75" customHeight="1">
      <c r="A27" s="31"/>
      <c r="B27" s="32"/>
      <c r="C27" s="32"/>
      <c r="D27" s="32"/>
      <c r="E27" s="31"/>
      <c r="F27" s="31"/>
      <c r="G27" s="31"/>
      <c r="H27" s="33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4" t="str">
        <f t="shared" si="1"/>
        <v/>
      </c>
      <c r="BA27" s="34" t="str">
        <f t="shared" si="2"/>
        <v/>
      </c>
      <c r="BB27" s="34" t="str">
        <f t="shared" si="3"/>
        <v/>
      </c>
      <c r="BC27" s="35" t="str">
        <f t="shared" si="4"/>
        <v/>
      </c>
      <c r="BD27" s="35" t="str">
        <f t="shared" si="5"/>
        <v/>
      </c>
      <c r="BE27" s="35" t="str">
        <f t="shared" si="6"/>
        <v/>
      </c>
      <c r="BF27" s="35" t="str">
        <f t="shared" si="7"/>
        <v/>
      </c>
      <c r="BG27" s="35" t="str">
        <f t="shared" si="8"/>
        <v/>
      </c>
      <c r="BH27" s="35" t="str">
        <f t="shared" si="9"/>
        <v/>
      </c>
      <c r="BI27" s="35" t="str">
        <f t="shared" si="10"/>
        <v/>
      </c>
      <c r="BJ27" s="35" t="str">
        <f t="shared" si="11"/>
        <v/>
      </c>
      <c r="BK27" s="35" t="str">
        <f t="shared" si="12"/>
        <v/>
      </c>
      <c r="BL27" s="34" t="str">
        <f t="shared" si="13"/>
        <v/>
      </c>
      <c r="BM27" s="36" t="str">
        <f t="shared" si="14"/>
        <v/>
      </c>
      <c r="BN27" s="36" t="str">
        <f t="shared" si="15"/>
        <v/>
      </c>
      <c r="BO27" s="36" t="str">
        <f t="shared" si="16"/>
        <v/>
      </c>
    </row>
    <row r="28" ht="15.75" customHeight="1">
      <c r="A28" s="31"/>
      <c r="B28" s="32"/>
      <c r="C28" s="32"/>
      <c r="D28" s="32"/>
      <c r="E28" s="31"/>
      <c r="F28" s="31"/>
      <c r="G28" s="31"/>
      <c r="H28" s="33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4" t="str">
        <f t="shared" si="1"/>
        <v/>
      </c>
      <c r="BA28" s="34" t="str">
        <f t="shared" si="2"/>
        <v/>
      </c>
      <c r="BB28" s="34" t="str">
        <f t="shared" si="3"/>
        <v/>
      </c>
      <c r="BC28" s="35" t="str">
        <f t="shared" si="4"/>
        <v/>
      </c>
      <c r="BD28" s="35" t="str">
        <f t="shared" si="5"/>
        <v/>
      </c>
      <c r="BE28" s="35" t="str">
        <f t="shared" si="6"/>
        <v/>
      </c>
      <c r="BF28" s="35" t="str">
        <f t="shared" si="7"/>
        <v/>
      </c>
      <c r="BG28" s="35" t="str">
        <f t="shared" si="8"/>
        <v/>
      </c>
      <c r="BH28" s="35" t="str">
        <f t="shared" si="9"/>
        <v/>
      </c>
      <c r="BI28" s="35" t="str">
        <f t="shared" si="10"/>
        <v/>
      </c>
      <c r="BJ28" s="35" t="str">
        <f t="shared" si="11"/>
        <v/>
      </c>
      <c r="BK28" s="35" t="str">
        <f t="shared" si="12"/>
        <v/>
      </c>
      <c r="BL28" s="34" t="str">
        <f t="shared" si="13"/>
        <v/>
      </c>
      <c r="BM28" s="36" t="str">
        <f t="shared" si="14"/>
        <v/>
      </c>
      <c r="BN28" s="36" t="str">
        <f t="shared" si="15"/>
        <v/>
      </c>
      <c r="BO28" s="36" t="str">
        <f t="shared" si="16"/>
        <v/>
      </c>
    </row>
    <row r="29" ht="15.75" customHeight="1">
      <c r="A29" s="31"/>
      <c r="B29" s="32"/>
      <c r="C29" s="32"/>
      <c r="D29" s="32"/>
      <c r="E29" s="31"/>
      <c r="F29" s="31"/>
      <c r="G29" s="31"/>
      <c r="H29" s="33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4" t="str">
        <f t="shared" si="1"/>
        <v/>
      </c>
      <c r="BA29" s="34" t="str">
        <f t="shared" si="2"/>
        <v/>
      </c>
      <c r="BB29" s="34" t="str">
        <f t="shared" si="3"/>
        <v/>
      </c>
      <c r="BC29" s="35" t="str">
        <f t="shared" si="4"/>
        <v/>
      </c>
      <c r="BD29" s="35" t="str">
        <f t="shared" si="5"/>
        <v/>
      </c>
      <c r="BE29" s="35" t="str">
        <f t="shared" si="6"/>
        <v/>
      </c>
      <c r="BF29" s="35" t="str">
        <f t="shared" si="7"/>
        <v/>
      </c>
      <c r="BG29" s="35" t="str">
        <f t="shared" si="8"/>
        <v/>
      </c>
      <c r="BH29" s="35" t="str">
        <f t="shared" si="9"/>
        <v/>
      </c>
      <c r="BI29" s="35" t="str">
        <f t="shared" si="10"/>
        <v/>
      </c>
      <c r="BJ29" s="35" t="str">
        <f t="shared" si="11"/>
        <v/>
      </c>
      <c r="BK29" s="35" t="str">
        <f t="shared" si="12"/>
        <v/>
      </c>
      <c r="BL29" s="34" t="str">
        <f t="shared" si="13"/>
        <v/>
      </c>
      <c r="BM29" s="36" t="str">
        <f t="shared" si="14"/>
        <v/>
      </c>
      <c r="BN29" s="36" t="str">
        <f t="shared" si="15"/>
        <v/>
      </c>
      <c r="BO29" s="36" t="str">
        <f t="shared" si="16"/>
        <v/>
      </c>
    </row>
    <row r="30" ht="15.75" customHeight="1">
      <c r="A30" s="31"/>
      <c r="B30" s="32"/>
      <c r="C30" s="32"/>
      <c r="D30" s="32"/>
      <c r="E30" s="31"/>
      <c r="F30" s="31"/>
      <c r="G30" s="31"/>
      <c r="H30" s="33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4" t="str">
        <f t="shared" si="1"/>
        <v/>
      </c>
      <c r="BA30" s="34" t="str">
        <f t="shared" si="2"/>
        <v/>
      </c>
      <c r="BB30" s="34" t="str">
        <f t="shared" si="3"/>
        <v/>
      </c>
      <c r="BC30" s="35" t="str">
        <f t="shared" si="4"/>
        <v/>
      </c>
      <c r="BD30" s="35" t="str">
        <f t="shared" si="5"/>
        <v/>
      </c>
      <c r="BE30" s="35" t="str">
        <f t="shared" si="6"/>
        <v/>
      </c>
      <c r="BF30" s="35" t="str">
        <f t="shared" si="7"/>
        <v/>
      </c>
      <c r="BG30" s="35" t="str">
        <f t="shared" si="8"/>
        <v/>
      </c>
      <c r="BH30" s="35" t="str">
        <f t="shared" si="9"/>
        <v/>
      </c>
      <c r="BI30" s="35" t="str">
        <f t="shared" si="10"/>
        <v/>
      </c>
      <c r="BJ30" s="35" t="str">
        <f t="shared" si="11"/>
        <v/>
      </c>
      <c r="BK30" s="35" t="str">
        <f t="shared" si="12"/>
        <v/>
      </c>
      <c r="BL30" s="34" t="str">
        <f t="shared" si="13"/>
        <v/>
      </c>
      <c r="BM30" s="36" t="str">
        <f t="shared" si="14"/>
        <v/>
      </c>
      <c r="BN30" s="36" t="str">
        <f t="shared" si="15"/>
        <v/>
      </c>
      <c r="BO30" s="36" t="str">
        <f t="shared" si="16"/>
        <v/>
      </c>
    </row>
    <row r="31" ht="15.75" customHeight="1">
      <c r="A31" s="31"/>
      <c r="B31" s="32"/>
      <c r="C31" s="32"/>
      <c r="D31" s="32"/>
      <c r="E31" s="31"/>
      <c r="F31" s="31"/>
      <c r="G31" s="31"/>
      <c r="H31" s="33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4" t="str">
        <f t="shared" si="1"/>
        <v/>
      </c>
      <c r="BA31" s="34" t="str">
        <f t="shared" si="2"/>
        <v/>
      </c>
      <c r="BB31" s="34" t="str">
        <f t="shared" si="3"/>
        <v/>
      </c>
      <c r="BC31" s="35" t="str">
        <f t="shared" si="4"/>
        <v/>
      </c>
      <c r="BD31" s="35" t="str">
        <f t="shared" si="5"/>
        <v/>
      </c>
      <c r="BE31" s="35" t="str">
        <f t="shared" si="6"/>
        <v/>
      </c>
      <c r="BF31" s="35" t="str">
        <f t="shared" si="7"/>
        <v/>
      </c>
      <c r="BG31" s="35" t="str">
        <f t="shared" si="8"/>
        <v/>
      </c>
      <c r="BH31" s="35" t="str">
        <f t="shared" si="9"/>
        <v/>
      </c>
      <c r="BI31" s="35" t="str">
        <f t="shared" si="10"/>
        <v/>
      </c>
      <c r="BJ31" s="35" t="str">
        <f t="shared" si="11"/>
        <v/>
      </c>
      <c r="BK31" s="35" t="str">
        <f t="shared" si="12"/>
        <v/>
      </c>
      <c r="BL31" s="34" t="str">
        <f t="shared" si="13"/>
        <v/>
      </c>
      <c r="BM31" s="36" t="str">
        <f t="shared" si="14"/>
        <v/>
      </c>
      <c r="BN31" s="36" t="str">
        <f t="shared" si="15"/>
        <v/>
      </c>
      <c r="BO31" s="36" t="str">
        <f t="shared" si="16"/>
        <v/>
      </c>
    </row>
    <row r="32" ht="15.75" customHeight="1">
      <c r="A32" s="31"/>
      <c r="B32" s="32"/>
      <c r="C32" s="32"/>
      <c r="D32" s="32"/>
      <c r="E32" s="31"/>
      <c r="F32" s="31"/>
      <c r="G32" s="31"/>
      <c r="H32" s="33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4" t="str">
        <f t="shared" si="1"/>
        <v/>
      </c>
      <c r="BA32" s="34" t="str">
        <f t="shared" si="2"/>
        <v/>
      </c>
      <c r="BB32" s="34" t="str">
        <f t="shared" si="3"/>
        <v/>
      </c>
      <c r="BC32" s="35" t="str">
        <f t="shared" si="4"/>
        <v/>
      </c>
      <c r="BD32" s="35" t="str">
        <f t="shared" si="5"/>
        <v/>
      </c>
      <c r="BE32" s="35" t="str">
        <f t="shared" si="6"/>
        <v/>
      </c>
      <c r="BF32" s="35" t="str">
        <f t="shared" si="7"/>
        <v/>
      </c>
      <c r="BG32" s="35" t="str">
        <f t="shared" si="8"/>
        <v/>
      </c>
      <c r="BH32" s="35" t="str">
        <f t="shared" si="9"/>
        <v/>
      </c>
      <c r="BI32" s="35" t="str">
        <f t="shared" si="10"/>
        <v/>
      </c>
      <c r="BJ32" s="35" t="str">
        <f t="shared" si="11"/>
        <v/>
      </c>
      <c r="BK32" s="35" t="str">
        <f t="shared" si="12"/>
        <v/>
      </c>
      <c r="BL32" s="34" t="str">
        <f t="shared" si="13"/>
        <v/>
      </c>
      <c r="BM32" s="36" t="str">
        <f t="shared" si="14"/>
        <v/>
      </c>
      <c r="BN32" s="36" t="str">
        <f t="shared" si="15"/>
        <v/>
      </c>
      <c r="BO32" s="36" t="str">
        <f t="shared" si="16"/>
        <v/>
      </c>
    </row>
    <row r="33" ht="15.75" customHeight="1">
      <c r="A33" s="31"/>
      <c r="B33" s="32"/>
      <c r="C33" s="32"/>
      <c r="D33" s="32"/>
      <c r="E33" s="31"/>
      <c r="F33" s="31"/>
      <c r="G33" s="31"/>
      <c r="H33" s="33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4" t="str">
        <f t="shared" si="1"/>
        <v/>
      </c>
      <c r="BA33" s="34" t="str">
        <f t="shared" si="2"/>
        <v/>
      </c>
      <c r="BB33" s="34" t="str">
        <f t="shared" si="3"/>
        <v/>
      </c>
      <c r="BC33" s="35" t="str">
        <f t="shared" si="4"/>
        <v/>
      </c>
      <c r="BD33" s="35" t="str">
        <f t="shared" si="5"/>
        <v/>
      </c>
      <c r="BE33" s="35" t="str">
        <f t="shared" si="6"/>
        <v/>
      </c>
      <c r="BF33" s="35" t="str">
        <f t="shared" si="7"/>
        <v/>
      </c>
      <c r="BG33" s="35" t="str">
        <f t="shared" si="8"/>
        <v/>
      </c>
      <c r="BH33" s="35" t="str">
        <f t="shared" si="9"/>
        <v/>
      </c>
      <c r="BI33" s="35" t="str">
        <f t="shared" si="10"/>
        <v/>
      </c>
      <c r="BJ33" s="35" t="str">
        <f t="shared" si="11"/>
        <v/>
      </c>
      <c r="BK33" s="35" t="str">
        <f t="shared" si="12"/>
        <v/>
      </c>
      <c r="BL33" s="34" t="str">
        <f t="shared" si="13"/>
        <v/>
      </c>
      <c r="BM33" s="36" t="str">
        <f t="shared" si="14"/>
        <v/>
      </c>
      <c r="BN33" s="36" t="str">
        <f t="shared" si="15"/>
        <v/>
      </c>
      <c r="BO33" s="36" t="str">
        <f t="shared" si="16"/>
        <v/>
      </c>
    </row>
    <row r="34" ht="15.75" customHeight="1">
      <c r="A34" s="31"/>
      <c r="B34" s="32"/>
      <c r="C34" s="32"/>
      <c r="D34" s="32"/>
      <c r="E34" s="31"/>
      <c r="F34" s="31"/>
      <c r="G34" s="31"/>
      <c r="H34" s="33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4" t="str">
        <f t="shared" si="1"/>
        <v/>
      </c>
      <c r="BA34" s="34" t="str">
        <f t="shared" si="2"/>
        <v/>
      </c>
      <c r="BB34" s="34" t="str">
        <f t="shared" si="3"/>
        <v/>
      </c>
      <c r="BC34" s="35" t="str">
        <f t="shared" si="4"/>
        <v/>
      </c>
      <c r="BD34" s="35" t="str">
        <f t="shared" si="5"/>
        <v/>
      </c>
      <c r="BE34" s="35" t="str">
        <f t="shared" si="6"/>
        <v/>
      </c>
      <c r="BF34" s="35" t="str">
        <f t="shared" si="7"/>
        <v/>
      </c>
      <c r="BG34" s="35" t="str">
        <f t="shared" si="8"/>
        <v/>
      </c>
      <c r="BH34" s="35" t="str">
        <f t="shared" si="9"/>
        <v/>
      </c>
      <c r="BI34" s="35" t="str">
        <f t="shared" si="10"/>
        <v/>
      </c>
      <c r="BJ34" s="35" t="str">
        <f t="shared" si="11"/>
        <v/>
      </c>
      <c r="BK34" s="35" t="str">
        <f t="shared" si="12"/>
        <v/>
      </c>
      <c r="BL34" s="34" t="str">
        <f t="shared" si="13"/>
        <v/>
      </c>
      <c r="BM34" s="36" t="str">
        <f t="shared" si="14"/>
        <v/>
      </c>
      <c r="BN34" s="36" t="str">
        <f t="shared" si="15"/>
        <v/>
      </c>
      <c r="BO34" s="36" t="str">
        <f t="shared" si="16"/>
        <v/>
      </c>
    </row>
    <row r="35" ht="15.75" customHeight="1">
      <c r="A35" s="31"/>
      <c r="B35" s="32"/>
      <c r="C35" s="32"/>
      <c r="D35" s="32"/>
      <c r="E35" s="31"/>
      <c r="F35" s="31"/>
      <c r="G35" s="31"/>
      <c r="H35" s="33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4" t="str">
        <f t="shared" si="1"/>
        <v/>
      </c>
      <c r="BA35" s="34" t="str">
        <f t="shared" si="2"/>
        <v/>
      </c>
      <c r="BB35" s="34" t="str">
        <f t="shared" si="3"/>
        <v/>
      </c>
      <c r="BC35" s="35" t="str">
        <f t="shared" si="4"/>
        <v/>
      </c>
      <c r="BD35" s="35" t="str">
        <f t="shared" si="5"/>
        <v/>
      </c>
      <c r="BE35" s="35" t="str">
        <f t="shared" si="6"/>
        <v/>
      </c>
      <c r="BF35" s="35" t="str">
        <f t="shared" si="7"/>
        <v/>
      </c>
      <c r="BG35" s="35" t="str">
        <f t="shared" si="8"/>
        <v/>
      </c>
      <c r="BH35" s="35" t="str">
        <f t="shared" si="9"/>
        <v/>
      </c>
      <c r="BI35" s="35" t="str">
        <f t="shared" si="10"/>
        <v/>
      </c>
      <c r="BJ35" s="35" t="str">
        <f t="shared" si="11"/>
        <v/>
      </c>
      <c r="BK35" s="35" t="str">
        <f t="shared" si="12"/>
        <v/>
      </c>
      <c r="BL35" s="34" t="str">
        <f t="shared" si="13"/>
        <v/>
      </c>
      <c r="BM35" s="36" t="str">
        <f t="shared" si="14"/>
        <v/>
      </c>
      <c r="BN35" s="36" t="str">
        <f t="shared" si="15"/>
        <v/>
      </c>
      <c r="BO35" s="36" t="str">
        <f t="shared" si="16"/>
        <v/>
      </c>
    </row>
    <row r="36" ht="15.75" customHeight="1">
      <c r="A36" s="31"/>
      <c r="B36" s="32"/>
      <c r="C36" s="32"/>
      <c r="D36" s="32"/>
      <c r="E36" s="31"/>
      <c r="F36" s="31"/>
      <c r="G36" s="31"/>
      <c r="H36" s="33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4" t="str">
        <f t="shared" si="1"/>
        <v/>
      </c>
      <c r="BA36" s="34" t="str">
        <f t="shared" si="2"/>
        <v/>
      </c>
      <c r="BB36" s="34" t="str">
        <f t="shared" si="3"/>
        <v/>
      </c>
      <c r="BC36" s="35" t="str">
        <f t="shared" si="4"/>
        <v/>
      </c>
      <c r="BD36" s="35" t="str">
        <f t="shared" si="5"/>
        <v/>
      </c>
      <c r="BE36" s="35" t="str">
        <f t="shared" si="6"/>
        <v/>
      </c>
      <c r="BF36" s="35" t="str">
        <f t="shared" si="7"/>
        <v/>
      </c>
      <c r="BG36" s="35" t="str">
        <f t="shared" si="8"/>
        <v/>
      </c>
      <c r="BH36" s="35" t="str">
        <f t="shared" si="9"/>
        <v/>
      </c>
      <c r="BI36" s="35" t="str">
        <f t="shared" si="10"/>
        <v/>
      </c>
      <c r="BJ36" s="35" t="str">
        <f t="shared" si="11"/>
        <v/>
      </c>
      <c r="BK36" s="35" t="str">
        <f t="shared" si="12"/>
        <v/>
      </c>
      <c r="BL36" s="34" t="str">
        <f t="shared" si="13"/>
        <v/>
      </c>
      <c r="BM36" s="36" t="str">
        <f t="shared" si="14"/>
        <v/>
      </c>
      <c r="BN36" s="36" t="str">
        <f t="shared" si="15"/>
        <v/>
      </c>
      <c r="BO36" s="36" t="str">
        <f t="shared" si="16"/>
        <v/>
      </c>
    </row>
    <row r="37" ht="15.75" customHeight="1">
      <c r="A37" s="31"/>
      <c r="B37" s="32"/>
      <c r="C37" s="32"/>
      <c r="D37" s="32"/>
      <c r="E37" s="31"/>
      <c r="F37" s="31"/>
      <c r="G37" s="31"/>
      <c r="H37" s="33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4" t="str">
        <f t="shared" si="1"/>
        <v/>
      </c>
      <c r="BA37" s="34" t="str">
        <f t="shared" si="2"/>
        <v/>
      </c>
      <c r="BB37" s="34" t="str">
        <f t="shared" si="3"/>
        <v/>
      </c>
      <c r="BC37" s="35" t="str">
        <f t="shared" si="4"/>
        <v/>
      </c>
      <c r="BD37" s="35" t="str">
        <f t="shared" si="5"/>
        <v/>
      </c>
      <c r="BE37" s="35" t="str">
        <f t="shared" si="6"/>
        <v/>
      </c>
      <c r="BF37" s="35" t="str">
        <f t="shared" si="7"/>
        <v/>
      </c>
      <c r="BG37" s="35" t="str">
        <f t="shared" si="8"/>
        <v/>
      </c>
      <c r="BH37" s="35" t="str">
        <f t="shared" si="9"/>
        <v/>
      </c>
      <c r="BI37" s="35" t="str">
        <f t="shared" si="10"/>
        <v/>
      </c>
      <c r="BJ37" s="35" t="str">
        <f t="shared" si="11"/>
        <v/>
      </c>
      <c r="BK37" s="35" t="str">
        <f t="shared" si="12"/>
        <v/>
      </c>
      <c r="BL37" s="34" t="str">
        <f t="shared" si="13"/>
        <v/>
      </c>
      <c r="BM37" s="36" t="str">
        <f t="shared" si="14"/>
        <v/>
      </c>
      <c r="BN37" s="36" t="str">
        <f t="shared" si="15"/>
        <v/>
      </c>
      <c r="BO37" s="36" t="str">
        <f t="shared" si="16"/>
        <v/>
      </c>
    </row>
    <row r="38" ht="15.75" customHeight="1">
      <c r="A38" s="31"/>
      <c r="B38" s="32"/>
      <c r="C38" s="32"/>
      <c r="D38" s="32"/>
      <c r="E38" s="31"/>
      <c r="F38" s="31"/>
      <c r="G38" s="31"/>
      <c r="H38" s="33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4" t="str">
        <f t="shared" si="1"/>
        <v/>
      </c>
      <c r="BA38" s="34" t="str">
        <f t="shared" si="2"/>
        <v/>
      </c>
      <c r="BB38" s="34" t="str">
        <f t="shared" si="3"/>
        <v/>
      </c>
      <c r="BC38" s="35" t="str">
        <f t="shared" si="4"/>
        <v/>
      </c>
      <c r="BD38" s="35" t="str">
        <f t="shared" si="5"/>
        <v/>
      </c>
      <c r="BE38" s="35" t="str">
        <f t="shared" si="6"/>
        <v/>
      </c>
      <c r="BF38" s="35" t="str">
        <f t="shared" si="7"/>
        <v/>
      </c>
      <c r="BG38" s="35" t="str">
        <f t="shared" si="8"/>
        <v/>
      </c>
      <c r="BH38" s="35" t="str">
        <f t="shared" si="9"/>
        <v/>
      </c>
      <c r="BI38" s="35" t="str">
        <f t="shared" si="10"/>
        <v/>
      </c>
      <c r="BJ38" s="35" t="str">
        <f t="shared" si="11"/>
        <v/>
      </c>
      <c r="BK38" s="35" t="str">
        <f t="shared" si="12"/>
        <v/>
      </c>
      <c r="BL38" s="34" t="str">
        <f t="shared" si="13"/>
        <v/>
      </c>
      <c r="BM38" s="36" t="str">
        <f t="shared" si="14"/>
        <v/>
      </c>
      <c r="BN38" s="36" t="str">
        <f t="shared" si="15"/>
        <v/>
      </c>
      <c r="BO38" s="36" t="str">
        <f t="shared" si="16"/>
        <v/>
      </c>
    </row>
    <row r="39" ht="15.75" customHeight="1">
      <c r="A39" s="31"/>
      <c r="B39" s="32"/>
      <c r="C39" s="32"/>
      <c r="D39" s="32"/>
      <c r="E39" s="31"/>
      <c r="F39" s="31"/>
      <c r="G39" s="31"/>
      <c r="H39" s="33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4" t="str">
        <f t="shared" si="1"/>
        <v/>
      </c>
      <c r="BA39" s="34" t="str">
        <f t="shared" si="2"/>
        <v/>
      </c>
      <c r="BB39" s="34" t="str">
        <f t="shared" si="3"/>
        <v/>
      </c>
      <c r="BC39" s="35" t="str">
        <f t="shared" si="4"/>
        <v/>
      </c>
      <c r="BD39" s="35" t="str">
        <f t="shared" si="5"/>
        <v/>
      </c>
      <c r="BE39" s="35" t="str">
        <f t="shared" si="6"/>
        <v/>
      </c>
      <c r="BF39" s="35" t="str">
        <f t="shared" si="7"/>
        <v/>
      </c>
      <c r="BG39" s="35" t="str">
        <f t="shared" si="8"/>
        <v/>
      </c>
      <c r="BH39" s="35" t="str">
        <f t="shared" si="9"/>
        <v/>
      </c>
      <c r="BI39" s="35" t="str">
        <f t="shared" si="10"/>
        <v/>
      </c>
      <c r="BJ39" s="35" t="str">
        <f t="shared" si="11"/>
        <v/>
      </c>
      <c r="BK39" s="35" t="str">
        <f t="shared" si="12"/>
        <v/>
      </c>
      <c r="BL39" s="34" t="str">
        <f t="shared" si="13"/>
        <v/>
      </c>
      <c r="BM39" s="36" t="str">
        <f t="shared" si="14"/>
        <v/>
      </c>
      <c r="BN39" s="36" t="str">
        <f t="shared" si="15"/>
        <v/>
      </c>
      <c r="BO39" s="36" t="str">
        <f t="shared" si="16"/>
        <v/>
      </c>
    </row>
    <row r="40" ht="15.75" customHeight="1">
      <c r="A40" s="31"/>
      <c r="B40" s="32"/>
      <c r="C40" s="32"/>
      <c r="D40" s="32"/>
      <c r="E40" s="31"/>
      <c r="F40" s="31"/>
      <c r="G40" s="31"/>
      <c r="H40" s="33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4" t="str">
        <f t="shared" si="1"/>
        <v/>
      </c>
      <c r="BA40" s="34" t="str">
        <f t="shared" si="2"/>
        <v/>
      </c>
      <c r="BB40" s="34" t="str">
        <f t="shared" si="3"/>
        <v/>
      </c>
      <c r="BC40" s="35" t="str">
        <f t="shared" si="4"/>
        <v/>
      </c>
      <c r="BD40" s="35" t="str">
        <f t="shared" si="5"/>
        <v/>
      </c>
      <c r="BE40" s="35" t="str">
        <f t="shared" si="6"/>
        <v/>
      </c>
      <c r="BF40" s="35" t="str">
        <f t="shared" si="7"/>
        <v/>
      </c>
      <c r="BG40" s="35" t="str">
        <f t="shared" si="8"/>
        <v/>
      </c>
      <c r="BH40" s="35" t="str">
        <f t="shared" si="9"/>
        <v/>
      </c>
      <c r="BI40" s="35" t="str">
        <f t="shared" si="10"/>
        <v/>
      </c>
      <c r="BJ40" s="35" t="str">
        <f t="shared" si="11"/>
        <v/>
      </c>
      <c r="BK40" s="35" t="str">
        <f t="shared" si="12"/>
        <v/>
      </c>
      <c r="BL40" s="34" t="str">
        <f t="shared" si="13"/>
        <v/>
      </c>
      <c r="BM40" s="36" t="str">
        <f t="shared" si="14"/>
        <v/>
      </c>
      <c r="BN40" s="36" t="str">
        <f t="shared" si="15"/>
        <v/>
      </c>
      <c r="BO40" s="36" t="str">
        <f t="shared" si="16"/>
        <v/>
      </c>
    </row>
    <row r="41" ht="15.75" customHeight="1">
      <c r="A41" s="31"/>
      <c r="B41" s="32"/>
      <c r="C41" s="32"/>
      <c r="D41" s="32"/>
      <c r="E41" s="31"/>
      <c r="F41" s="31"/>
      <c r="G41" s="31"/>
      <c r="H41" s="33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4" t="str">
        <f t="shared" si="1"/>
        <v/>
      </c>
      <c r="BA41" s="34" t="str">
        <f t="shared" si="2"/>
        <v/>
      </c>
      <c r="BB41" s="34" t="str">
        <f t="shared" si="3"/>
        <v/>
      </c>
      <c r="BC41" s="35" t="str">
        <f t="shared" si="4"/>
        <v/>
      </c>
      <c r="BD41" s="35" t="str">
        <f t="shared" si="5"/>
        <v/>
      </c>
      <c r="BE41" s="35" t="str">
        <f t="shared" si="6"/>
        <v/>
      </c>
      <c r="BF41" s="35" t="str">
        <f t="shared" si="7"/>
        <v/>
      </c>
      <c r="BG41" s="35" t="str">
        <f t="shared" si="8"/>
        <v/>
      </c>
      <c r="BH41" s="35" t="str">
        <f t="shared" si="9"/>
        <v/>
      </c>
      <c r="BI41" s="35" t="str">
        <f t="shared" si="10"/>
        <v/>
      </c>
      <c r="BJ41" s="35" t="str">
        <f t="shared" si="11"/>
        <v/>
      </c>
      <c r="BK41" s="35" t="str">
        <f t="shared" si="12"/>
        <v/>
      </c>
      <c r="BL41" s="34" t="str">
        <f t="shared" si="13"/>
        <v/>
      </c>
      <c r="BM41" s="36" t="str">
        <f t="shared" si="14"/>
        <v/>
      </c>
      <c r="BN41" s="36" t="str">
        <f t="shared" si="15"/>
        <v/>
      </c>
      <c r="BO41" s="36" t="str">
        <f t="shared" si="16"/>
        <v/>
      </c>
    </row>
    <row r="42" ht="15.75" customHeight="1">
      <c r="A42" s="31"/>
      <c r="B42" s="32"/>
      <c r="C42" s="32"/>
      <c r="D42" s="32"/>
      <c r="E42" s="31"/>
      <c r="F42" s="31"/>
      <c r="G42" s="31"/>
      <c r="H42" s="33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4" t="str">
        <f t="shared" si="1"/>
        <v/>
      </c>
      <c r="BA42" s="34" t="str">
        <f t="shared" si="2"/>
        <v/>
      </c>
      <c r="BB42" s="34" t="str">
        <f t="shared" si="3"/>
        <v/>
      </c>
      <c r="BC42" s="35" t="str">
        <f t="shared" si="4"/>
        <v/>
      </c>
      <c r="BD42" s="35" t="str">
        <f t="shared" si="5"/>
        <v/>
      </c>
      <c r="BE42" s="35" t="str">
        <f t="shared" si="6"/>
        <v/>
      </c>
      <c r="BF42" s="35" t="str">
        <f t="shared" si="7"/>
        <v/>
      </c>
      <c r="BG42" s="35" t="str">
        <f t="shared" si="8"/>
        <v/>
      </c>
      <c r="BH42" s="35" t="str">
        <f t="shared" si="9"/>
        <v/>
      </c>
      <c r="BI42" s="35" t="str">
        <f t="shared" si="10"/>
        <v/>
      </c>
      <c r="BJ42" s="35" t="str">
        <f t="shared" si="11"/>
        <v/>
      </c>
      <c r="BK42" s="35" t="str">
        <f t="shared" si="12"/>
        <v/>
      </c>
      <c r="BL42" s="34" t="str">
        <f t="shared" si="13"/>
        <v/>
      </c>
      <c r="BM42" s="36" t="str">
        <f t="shared" si="14"/>
        <v/>
      </c>
      <c r="BN42" s="36" t="str">
        <f t="shared" si="15"/>
        <v/>
      </c>
      <c r="BO42" s="36" t="str">
        <f t="shared" si="16"/>
        <v/>
      </c>
    </row>
    <row r="43" ht="15.75" customHeight="1">
      <c r="A43" s="31"/>
      <c r="B43" s="32"/>
      <c r="C43" s="32"/>
      <c r="D43" s="32"/>
      <c r="E43" s="31"/>
      <c r="F43" s="31"/>
      <c r="G43" s="31"/>
      <c r="H43" s="33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4" t="str">
        <f t="shared" si="1"/>
        <v/>
      </c>
      <c r="BA43" s="34" t="str">
        <f t="shared" si="2"/>
        <v/>
      </c>
      <c r="BB43" s="34" t="str">
        <f t="shared" si="3"/>
        <v/>
      </c>
      <c r="BC43" s="35" t="str">
        <f t="shared" si="4"/>
        <v/>
      </c>
      <c r="BD43" s="35" t="str">
        <f t="shared" si="5"/>
        <v/>
      </c>
      <c r="BE43" s="35" t="str">
        <f t="shared" si="6"/>
        <v/>
      </c>
      <c r="BF43" s="35" t="str">
        <f t="shared" si="7"/>
        <v/>
      </c>
      <c r="BG43" s="35" t="str">
        <f t="shared" si="8"/>
        <v/>
      </c>
      <c r="BH43" s="35" t="str">
        <f t="shared" si="9"/>
        <v/>
      </c>
      <c r="BI43" s="35" t="str">
        <f t="shared" si="10"/>
        <v/>
      </c>
      <c r="BJ43" s="35" t="str">
        <f t="shared" si="11"/>
        <v/>
      </c>
      <c r="BK43" s="35" t="str">
        <f t="shared" si="12"/>
        <v/>
      </c>
      <c r="BL43" s="34" t="str">
        <f t="shared" si="13"/>
        <v/>
      </c>
      <c r="BM43" s="36" t="str">
        <f t="shared" si="14"/>
        <v/>
      </c>
      <c r="BN43" s="36" t="str">
        <f t="shared" si="15"/>
        <v/>
      </c>
      <c r="BO43" s="36" t="str">
        <f t="shared" si="16"/>
        <v/>
      </c>
    </row>
    <row r="44" ht="15.75" customHeight="1">
      <c r="A44" s="31"/>
      <c r="B44" s="32"/>
      <c r="C44" s="32"/>
      <c r="D44" s="32"/>
      <c r="E44" s="31"/>
      <c r="F44" s="31"/>
      <c r="G44" s="31"/>
      <c r="H44" s="33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4" t="str">
        <f t="shared" si="1"/>
        <v/>
      </c>
      <c r="BA44" s="34" t="str">
        <f t="shared" si="2"/>
        <v/>
      </c>
      <c r="BB44" s="34" t="str">
        <f t="shared" si="3"/>
        <v/>
      </c>
      <c r="BC44" s="35" t="str">
        <f t="shared" si="4"/>
        <v/>
      </c>
      <c r="BD44" s="35" t="str">
        <f t="shared" si="5"/>
        <v/>
      </c>
      <c r="BE44" s="35" t="str">
        <f t="shared" si="6"/>
        <v/>
      </c>
      <c r="BF44" s="35" t="str">
        <f t="shared" si="7"/>
        <v/>
      </c>
      <c r="BG44" s="35" t="str">
        <f t="shared" si="8"/>
        <v/>
      </c>
      <c r="BH44" s="35" t="str">
        <f t="shared" si="9"/>
        <v/>
      </c>
      <c r="BI44" s="35" t="str">
        <f t="shared" si="10"/>
        <v/>
      </c>
      <c r="BJ44" s="35" t="str">
        <f t="shared" si="11"/>
        <v/>
      </c>
      <c r="BK44" s="35" t="str">
        <f t="shared" si="12"/>
        <v/>
      </c>
      <c r="BL44" s="34" t="str">
        <f t="shared" si="13"/>
        <v/>
      </c>
      <c r="BM44" s="36" t="str">
        <f t="shared" si="14"/>
        <v/>
      </c>
      <c r="BN44" s="36" t="str">
        <f t="shared" si="15"/>
        <v/>
      </c>
      <c r="BO44" s="36" t="str">
        <f t="shared" si="16"/>
        <v/>
      </c>
    </row>
    <row r="45" ht="15.75" customHeight="1">
      <c r="A45" s="31"/>
      <c r="B45" s="32"/>
      <c r="C45" s="32"/>
      <c r="D45" s="32"/>
      <c r="E45" s="31"/>
      <c r="F45" s="31"/>
      <c r="G45" s="31"/>
      <c r="H45" s="33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4" t="str">
        <f t="shared" si="1"/>
        <v/>
      </c>
      <c r="BA45" s="34" t="str">
        <f t="shared" si="2"/>
        <v/>
      </c>
      <c r="BB45" s="34" t="str">
        <f t="shared" si="3"/>
        <v/>
      </c>
      <c r="BC45" s="35" t="str">
        <f t="shared" si="4"/>
        <v/>
      </c>
      <c r="BD45" s="35" t="str">
        <f t="shared" si="5"/>
        <v/>
      </c>
      <c r="BE45" s="35" t="str">
        <f t="shared" si="6"/>
        <v/>
      </c>
      <c r="BF45" s="35" t="str">
        <f t="shared" si="7"/>
        <v/>
      </c>
      <c r="BG45" s="35" t="str">
        <f t="shared" si="8"/>
        <v/>
      </c>
      <c r="BH45" s="35" t="str">
        <f t="shared" si="9"/>
        <v/>
      </c>
      <c r="BI45" s="35" t="str">
        <f t="shared" si="10"/>
        <v/>
      </c>
      <c r="BJ45" s="35" t="str">
        <f t="shared" si="11"/>
        <v/>
      </c>
      <c r="BK45" s="35" t="str">
        <f t="shared" si="12"/>
        <v/>
      </c>
      <c r="BL45" s="34" t="str">
        <f t="shared" si="13"/>
        <v/>
      </c>
      <c r="BM45" s="36" t="str">
        <f t="shared" si="14"/>
        <v/>
      </c>
      <c r="BN45" s="36" t="str">
        <f t="shared" si="15"/>
        <v/>
      </c>
      <c r="BO45" s="36" t="str">
        <f t="shared" si="16"/>
        <v/>
      </c>
    </row>
    <row r="46" ht="15.75" customHeight="1">
      <c r="A46" s="31"/>
      <c r="B46" s="32"/>
      <c r="C46" s="32"/>
      <c r="D46" s="32"/>
      <c r="E46" s="31"/>
      <c r="F46" s="31"/>
      <c r="G46" s="31"/>
      <c r="H46" s="33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4" t="str">
        <f t="shared" si="1"/>
        <v/>
      </c>
      <c r="BA46" s="34" t="str">
        <f t="shared" si="2"/>
        <v/>
      </c>
      <c r="BB46" s="34" t="str">
        <f t="shared" si="3"/>
        <v/>
      </c>
      <c r="BC46" s="35" t="str">
        <f t="shared" si="4"/>
        <v/>
      </c>
      <c r="BD46" s="35" t="str">
        <f t="shared" si="5"/>
        <v/>
      </c>
      <c r="BE46" s="35" t="str">
        <f t="shared" si="6"/>
        <v/>
      </c>
      <c r="BF46" s="35" t="str">
        <f t="shared" si="7"/>
        <v/>
      </c>
      <c r="BG46" s="35" t="str">
        <f t="shared" si="8"/>
        <v/>
      </c>
      <c r="BH46" s="35" t="str">
        <f t="shared" si="9"/>
        <v/>
      </c>
      <c r="BI46" s="35" t="str">
        <f t="shared" si="10"/>
        <v/>
      </c>
      <c r="BJ46" s="35" t="str">
        <f t="shared" si="11"/>
        <v/>
      </c>
      <c r="BK46" s="35" t="str">
        <f t="shared" si="12"/>
        <v/>
      </c>
      <c r="BL46" s="34" t="str">
        <f t="shared" si="13"/>
        <v/>
      </c>
      <c r="BM46" s="36" t="str">
        <f t="shared" si="14"/>
        <v/>
      </c>
      <c r="BN46" s="36" t="str">
        <f t="shared" si="15"/>
        <v/>
      </c>
      <c r="BO46" s="36" t="str">
        <f t="shared" si="16"/>
        <v/>
      </c>
    </row>
    <row r="47" ht="15.75" customHeight="1">
      <c r="A47" s="31"/>
      <c r="B47" s="32"/>
      <c r="C47" s="32"/>
      <c r="D47" s="32"/>
      <c r="E47" s="31"/>
      <c r="F47" s="31"/>
      <c r="G47" s="31"/>
      <c r="H47" s="33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4" t="str">
        <f t="shared" si="1"/>
        <v/>
      </c>
      <c r="BA47" s="34" t="str">
        <f t="shared" si="2"/>
        <v/>
      </c>
      <c r="BB47" s="34" t="str">
        <f t="shared" si="3"/>
        <v/>
      </c>
      <c r="BC47" s="35" t="str">
        <f t="shared" si="4"/>
        <v/>
      </c>
      <c r="BD47" s="35" t="str">
        <f t="shared" si="5"/>
        <v/>
      </c>
      <c r="BE47" s="35" t="str">
        <f t="shared" si="6"/>
        <v/>
      </c>
      <c r="BF47" s="35" t="str">
        <f t="shared" si="7"/>
        <v/>
      </c>
      <c r="BG47" s="35" t="str">
        <f t="shared" si="8"/>
        <v/>
      </c>
      <c r="BH47" s="35" t="str">
        <f t="shared" si="9"/>
        <v/>
      </c>
      <c r="BI47" s="35" t="str">
        <f t="shared" si="10"/>
        <v/>
      </c>
      <c r="BJ47" s="35" t="str">
        <f t="shared" si="11"/>
        <v/>
      </c>
      <c r="BK47" s="35" t="str">
        <f t="shared" si="12"/>
        <v/>
      </c>
      <c r="BL47" s="34" t="str">
        <f t="shared" si="13"/>
        <v/>
      </c>
      <c r="BM47" s="36" t="str">
        <f t="shared" si="14"/>
        <v/>
      </c>
      <c r="BN47" s="36" t="str">
        <f t="shared" si="15"/>
        <v/>
      </c>
      <c r="BO47" s="36" t="str">
        <f t="shared" si="16"/>
        <v/>
      </c>
    </row>
    <row r="48" ht="15.75" customHeight="1">
      <c r="A48" s="31"/>
      <c r="B48" s="32"/>
      <c r="C48" s="32"/>
      <c r="D48" s="32"/>
      <c r="E48" s="31"/>
      <c r="F48" s="31"/>
      <c r="G48" s="31"/>
      <c r="H48" s="33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4" t="str">
        <f t="shared" si="1"/>
        <v/>
      </c>
      <c r="BA48" s="34" t="str">
        <f t="shared" si="2"/>
        <v/>
      </c>
      <c r="BB48" s="34" t="str">
        <f t="shared" si="3"/>
        <v/>
      </c>
      <c r="BC48" s="35" t="str">
        <f t="shared" si="4"/>
        <v/>
      </c>
      <c r="BD48" s="35" t="str">
        <f t="shared" si="5"/>
        <v/>
      </c>
      <c r="BE48" s="35" t="str">
        <f t="shared" si="6"/>
        <v/>
      </c>
      <c r="BF48" s="35" t="str">
        <f t="shared" si="7"/>
        <v/>
      </c>
      <c r="BG48" s="35" t="str">
        <f t="shared" si="8"/>
        <v/>
      </c>
      <c r="BH48" s="35" t="str">
        <f t="shared" si="9"/>
        <v/>
      </c>
      <c r="BI48" s="35" t="str">
        <f t="shared" si="10"/>
        <v/>
      </c>
      <c r="BJ48" s="35" t="str">
        <f t="shared" si="11"/>
        <v/>
      </c>
      <c r="BK48" s="35" t="str">
        <f t="shared" si="12"/>
        <v/>
      </c>
      <c r="BL48" s="34" t="str">
        <f t="shared" si="13"/>
        <v/>
      </c>
      <c r="BM48" s="36" t="str">
        <f t="shared" si="14"/>
        <v/>
      </c>
      <c r="BN48" s="36" t="str">
        <f t="shared" si="15"/>
        <v/>
      </c>
      <c r="BO48" s="36" t="str">
        <f t="shared" si="16"/>
        <v/>
      </c>
    </row>
    <row r="49" ht="15.75" customHeight="1">
      <c r="A49" s="31"/>
      <c r="B49" s="32"/>
      <c r="C49" s="32"/>
      <c r="D49" s="32"/>
      <c r="E49" s="31"/>
      <c r="F49" s="31"/>
      <c r="G49" s="31"/>
      <c r="H49" s="33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4" t="str">
        <f t="shared" si="1"/>
        <v/>
      </c>
      <c r="BA49" s="34" t="str">
        <f t="shared" si="2"/>
        <v/>
      </c>
      <c r="BB49" s="34" t="str">
        <f t="shared" si="3"/>
        <v/>
      </c>
      <c r="BC49" s="35" t="str">
        <f t="shared" si="4"/>
        <v/>
      </c>
      <c r="BD49" s="35" t="str">
        <f t="shared" si="5"/>
        <v/>
      </c>
      <c r="BE49" s="35" t="str">
        <f t="shared" si="6"/>
        <v/>
      </c>
      <c r="BF49" s="35" t="str">
        <f t="shared" si="7"/>
        <v/>
      </c>
      <c r="BG49" s="35" t="str">
        <f t="shared" si="8"/>
        <v/>
      </c>
      <c r="BH49" s="35" t="str">
        <f t="shared" si="9"/>
        <v/>
      </c>
      <c r="BI49" s="35" t="str">
        <f t="shared" si="10"/>
        <v/>
      </c>
      <c r="BJ49" s="35" t="str">
        <f t="shared" si="11"/>
        <v/>
      </c>
      <c r="BK49" s="35" t="str">
        <f t="shared" si="12"/>
        <v/>
      </c>
      <c r="BL49" s="34" t="str">
        <f t="shared" si="13"/>
        <v/>
      </c>
      <c r="BM49" s="36" t="str">
        <f t="shared" si="14"/>
        <v/>
      </c>
      <c r="BN49" s="36" t="str">
        <f t="shared" si="15"/>
        <v/>
      </c>
      <c r="BO49" s="36" t="str">
        <f t="shared" si="16"/>
        <v/>
      </c>
    </row>
    <row r="50" ht="15.75" customHeight="1">
      <c r="A50" s="31"/>
      <c r="B50" s="32"/>
      <c r="C50" s="32"/>
      <c r="D50" s="32"/>
      <c r="E50" s="31"/>
      <c r="F50" s="31"/>
      <c r="G50" s="31"/>
      <c r="H50" s="33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4" t="str">
        <f t="shared" si="1"/>
        <v/>
      </c>
      <c r="BA50" s="34" t="str">
        <f t="shared" si="2"/>
        <v/>
      </c>
      <c r="BB50" s="34" t="str">
        <f t="shared" si="3"/>
        <v/>
      </c>
      <c r="BC50" s="35" t="str">
        <f t="shared" si="4"/>
        <v/>
      </c>
      <c r="BD50" s="35" t="str">
        <f t="shared" si="5"/>
        <v/>
      </c>
      <c r="BE50" s="35" t="str">
        <f t="shared" si="6"/>
        <v/>
      </c>
      <c r="BF50" s="35" t="str">
        <f t="shared" si="7"/>
        <v/>
      </c>
      <c r="BG50" s="35" t="str">
        <f t="shared" si="8"/>
        <v/>
      </c>
      <c r="BH50" s="35" t="str">
        <f t="shared" si="9"/>
        <v/>
      </c>
      <c r="BI50" s="35" t="str">
        <f t="shared" si="10"/>
        <v/>
      </c>
      <c r="BJ50" s="35" t="str">
        <f t="shared" si="11"/>
        <v/>
      </c>
      <c r="BK50" s="35" t="str">
        <f t="shared" si="12"/>
        <v/>
      </c>
      <c r="BL50" s="34" t="str">
        <f t="shared" si="13"/>
        <v/>
      </c>
      <c r="BM50" s="36" t="str">
        <f t="shared" si="14"/>
        <v/>
      </c>
      <c r="BN50" s="36" t="str">
        <f t="shared" si="15"/>
        <v/>
      </c>
      <c r="BO50" s="36" t="str">
        <f t="shared" si="16"/>
        <v/>
      </c>
    </row>
    <row r="51" ht="15.75" customHeight="1">
      <c r="A51" s="31"/>
      <c r="B51" s="32"/>
      <c r="C51" s="32"/>
      <c r="D51" s="32"/>
      <c r="E51" s="31"/>
      <c r="F51" s="31"/>
      <c r="G51" s="31"/>
      <c r="H51" s="33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4" t="str">
        <f t="shared" si="1"/>
        <v/>
      </c>
      <c r="BA51" s="34" t="str">
        <f t="shared" si="2"/>
        <v/>
      </c>
      <c r="BB51" s="34" t="str">
        <f t="shared" si="3"/>
        <v/>
      </c>
      <c r="BC51" s="35" t="str">
        <f t="shared" si="4"/>
        <v/>
      </c>
      <c r="BD51" s="35" t="str">
        <f t="shared" si="5"/>
        <v/>
      </c>
      <c r="BE51" s="35" t="str">
        <f t="shared" si="6"/>
        <v/>
      </c>
      <c r="BF51" s="35" t="str">
        <f t="shared" si="7"/>
        <v/>
      </c>
      <c r="BG51" s="35" t="str">
        <f t="shared" si="8"/>
        <v/>
      </c>
      <c r="BH51" s="35" t="str">
        <f t="shared" si="9"/>
        <v/>
      </c>
      <c r="BI51" s="35" t="str">
        <f t="shared" si="10"/>
        <v/>
      </c>
      <c r="BJ51" s="35" t="str">
        <f t="shared" si="11"/>
        <v/>
      </c>
      <c r="BK51" s="35" t="str">
        <f t="shared" si="12"/>
        <v/>
      </c>
      <c r="BL51" s="34" t="str">
        <f t="shared" si="13"/>
        <v/>
      </c>
      <c r="BM51" s="36" t="str">
        <f t="shared" si="14"/>
        <v/>
      </c>
      <c r="BN51" s="36" t="str">
        <f t="shared" si="15"/>
        <v/>
      </c>
      <c r="BO51" s="36" t="str">
        <f t="shared" si="16"/>
        <v/>
      </c>
    </row>
    <row r="52" ht="15.75" customHeight="1">
      <c r="A52" s="31"/>
      <c r="B52" s="32"/>
      <c r="C52" s="32"/>
      <c r="D52" s="32"/>
      <c r="E52" s="31"/>
      <c r="F52" s="31"/>
      <c r="G52" s="31"/>
      <c r="H52" s="33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4" t="str">
        <f t="shared" si="1"/>
        <v/>
      </c>
      <c r="BA52" s="34" t="str">
        <f t="shared" si="2"/>
        <v/>
      </c>
      <c r="BB52" s="34" t="str">
        <f t="shared" si="3"/>
        <v/>
      </c>
      <c r="BC52" s="35" t="str">
        <f t="shared" si="4"/>
        <v/>
      </c>
      <c r="BD52" s="35" t="str">
        <f t="shared" si="5"/>
        <v/>
      </c>
      <c r="BE52" s="35" t="str">
        <f t="shared" si="6"/>
        <v/>
      </c>
      <c r="BF52" s="35" t="str">
        <f t="shared" si="7"/>
        <v/>
      </c>
      <c r="BG52" s="35" t="str">
        <f t="shared" si="8"/>
        <v/>
      </c>
      <c r="BH52" s="35" t="str">
        <f t="shared" si="9"/>
        <v/>
      </c>
      <c r="BI52" s="35" t="str">
        <f t="shared" si="10"/>
        <v/>
      </c>
      <c r="BJ52" s="35" t="str">
        <f t="shared" si="11"/>
        <v/>
      </c>
      <c r="BK52" s="35" t="str">
        <f t="shared" si="12"/>
        <v/>
      </c>
      <c r="BL52" s="34" t="str">
        <f t="shared" si="13"/>
        <v/>
      </c>
      <c r="BM52" s="36" t="str">
        <f t="shared" si="14"/>
        <v/>
      </c>
      <c r="BN52" s="36" t="str">
        <f t="shared" si="15"/>
        <v/>
      </c>
      <c r="BO52" s="36" t="str">
        <f t="shared" si="16"/>
        <v/>
      </c>
    </row>
    <row r="53" ht="15.75" customHeight="1">
      <c r="A53" s="31"/>
      <c r="B53" s="32"/>
      <c r="C53" s="32"/>
      <c r="D53" s="32"/>
      <c r="E53" s="31"/>
      <c r="F53" s="31"/>
      <c r="G53" s="31"/>
      <c r="H53" s="33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4" t="str">
        <f t="shared" si="1"/>
        <v/>
      </c>
      <c r="BA53" s="34" t="str">
        <f t="shared" si="2"/>
        <v/>
      </c>
      <c r="BB53" s="34" t="str">
        <f t="shared" si="3"/>
        <v/>
      </c>
      <c r="BC53" s="35" t="str">
        <f t="shared" si="4"/>
        <v/>
      </c>
      <c r="BD53" s="35" t="str">
        <f t="shared" si="5"/>
        <v/>
      </c>
      <c r="BE53" s="35" t="str">
        <f t="shared" si="6"/>
        <v/>
      </c>
      <c r="BF53" s="35" t="str">
        <f t="shared" si="7"/>
        <v/>
      </c>
      <c r="BG53" s="35" t="str">
        <f t="shared" si="8"/>
        <v/>
      </c>
      <c r="BH53" s="35" t="str">
        <f t="shared" si="9"/>
        <v/>
      </c>
      <c r="BI53" s="35" t="str">
        <f t="shared" si="10"/>
        <v/>
      </c>
      <c r="BJ53" s="35" t="str">
        <f t="shared" si="11"/>
        <v/>
      </c>
      <c r="BK53" s="35" t="str">
        <f t="shared" si="12"/>
        <v/>
      </c>
      <c r="BL53" s="34" t="str">
        <f t="shared" si="13"/>
        <v/>
      </c>
      <c r="BM53" s="36" t="str">
        <f t="shared" si="14"/>
        <v/>
      </c>
      <c r="BN53" s="36" t="str">
        <f t="shared" si="15"/>
        <v/>
      </c>
      <c r="BO53" s="36" t="str">
        <f t="shared" si="16"/>
        <v/>
      </c>
    </row>
    <row r="54" ht="15.75" customHeight="1">
      <c r="A54" s="31"/>
      <c r="B54" s="32"/>
      <c r="C54" s="32"/>
      <c r="D54" s="32"/>
      <c r="E54" s="31"/>
      <c r="F54" s="31"/>
      <c r="G54" s="31"/>
      <c r="H54" s="33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4" t="str">
        <f t="shared" si="1"/>
        <v/>
      </c>
      <c r="BA54" s="34" t="str">
        <f t="shared" si="2"/>
        <v/>
      </c>
      <c r="BB54" s="34" t="str">
        <f t="shared" si="3"/>
        <v/>
      </c>
      <c r="BC54" s="35" t="str">
        <f t="shared" si="4"/>
        <v/>
      </c>
      <c r="BD54" s="35" t="str">
        <f t="shared" si="5"/>
        <v/>
      </c>
      <c r="BE54" s="35" t="str">
        <f t="shared" si="6"/>
        <v/>
      </c>
      <c r="BF54" s="35" t="str">
        <f t="shared" si="7"/>
        <v/>
      </c>
      <c r="BG54" s="35" t="str">
        <f t="shared" si="8"/>
        <v/>
      </c>
      <c r="BH54" s="35" t="str">
        <f t="shared" si="9"/>
        <v/>
      </c>
      <c r="BI54" s="35" t="str">
        <f t="shared" si="10"/>
        <v/>
      </c>
      <c r="BJ54" s="35" t="str">
        <f t="shared" si="11"/>
        <v/>
      </c>
      <c r="BK54" s="35" t="str">
        <f t="shared" si="12"/>
        <v/>
      </c>
      <c r="BL54" s="34" t="str">
        <f t="shared" si="13"/>
        <v/>
      </c>
      <c r="BM54" s="36" t="str">
        <f t="shared" si="14"/>
        <v/>
      </c>
      <c r="BN54" s="36" t="str">
        <f t="shared" si="15"/>
        <v/>
      </c>
      <c r="BO54" s="36" t="str">
        <f t="shared" si="16"/>
        <v/>
      </c>
    </row>
    <row r="55" ht="15.75" customHeight="1">
      <c r="A55" s="31"/>
      <c r="B55" s="32"/>
      <c r="C55" s="32"/>
      <c r="D55" s="32"/>
      <c r="E55" s="31"/>
      <c r="F55" s="31"/>
      <c r="G55" s="31"/>
      <c r="H55" s="33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4" t="str">
        <f t="shared" si="1"/>
        <v/>
      </c>
      <c r="BA55" s="34" t="str">
        <f t="shared" si="2"/>
        <v/>
      </c>
      <c r="BB55" s="34" t="str">
        <f t="shared" si="3"/>
        <v/>
      </c>
      <c r="BC55" s="35" t="str">
        <f t="shared" si="4"/>
        <v/>
      </c>
      <c r="BD55" s="35" t="str">
        <f t="shared" si="5"/>
        <v/>
      </c>
      <c r="BE55" s="35" t="str">
        <f t="shared" si="6"/>
        <v/>
      </c>
      <c r="BF55" s="35" t="str">
        <f t="shared" si="7"/>
        <v/>
      </c>
      <c r="BG55" s="35" t="str">
        <f t="shared" si="8"/>
        <v/>
      </c>
      <c r="BH55" s="35" t="str">
        <f t="shared" si="9"/>
        <v/>
      </c>
      <c r="BI55" s="35" t="str">
        <f t="shared" si="10"/>
        <v/>
      </c>
      <c r="BJ55" s="35" t="str">
        <f t="shared" si="11"/>
        <v/>
      </c>
      <c r="BK55" s="35" t="str">
        <f t="shared" si="12"/>
        <v/>
      </c>
      <c r="BL55" s="34" t="str">
        <f t="shared" si="13"/>
        <v/>
      </c>
      <c r="BM55" s="36" t="str">
        <f t="shared" si="14"/>
        <v/>
      </c>
      <c r="BN55" s="36" t="str">
        <f t="shared" si="15"/>
        <v/>
      </c>
      <c r="BO55" s="36" t="str">
        <f t="shared" si="16"/>
        <v/>
      </c>
    </row>
    <row r="56" ht="15.75" customHeight="1">
      <c r="A56" s="31"/>
      <c r="B56" s="32"/>
      <c r="C56" s="32"/>
      <c r="D56" s="32"/>
      <c r="E56" s="31"/>
      <c r="F56" s="31"/>
      <c r="G56" s="31"/>
      <c r="H56" s="33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4" t="str">
        <f t="shared" si="1"/>
        <v/>
      </c>
      <c r="BA56" s="34" t="str">
        <f t="shared" si="2"/>
        <v/>
      </c>
      <c r="BB56" s="34" t="str">
        <f t="shared" si="3"/>
        <v/>
      </c>
      <c r="BC56" s="35" t="str">
        <f t="shared" si="4"/>
        <v/>
      </c>
      <c r="BD56" s="35" t="str">
        <f t="shared" si="5"/>
        <v/>
      </c>
      <c r="BE56" s="35" t="str">
        <f t="shared" si="6"/>
        <v/>
      </c>
      <c r="BF56" s="35" t="str">
        <f t="shared" si="7"/>
        <v/>
      </c>
      <c r="BG56" s="35" t="str">
        <f t="shared" si="8"/>
        <v/>
      </c>
      <c r="BH56" s="35" t="str">
        <f t="shared" si="9"/>
        <v/>
      </c>
      <c r="BI56" s="35" t="str">
        <f t="shared" si="10"/>
        <v/>
      </c>
      <c r="BJ56" s="35" t="str">
        <f t="shared" si="11"/>
        <v/>
      </c>
      <c r="BK56" s="35" t="str">
        <f t="shared" si="12"/>
        <v/>
      </c>
      <c r="BL56" s="34" t="str">
        <f t="shared" si="13"/>
        <v/>
      </c>
      <c r="BM56" s="36" t="str">
        <f t="shared" si="14"/>
        <v/>
      </c>
      <c r="BN56" s="36" t="str">
        <f t="shared" si="15"/>
        <v/>
      </c>
      <c r="BO56" s="36" t="str">
        <f t="shared" si="16"/>
        <v/>
      </c>
    </row>
    <row r="57" ht="15.75" customHeight="1">
      <c r="A57" s="31"/>
      <c r="B57" s="32"/>
      <c r="C57" s="32"/>
      <c r="D57" s="32"/>
      <c r="E57" s="31"/>
      <c r="F57" s="31"/>
      <c r="G57" s="31"/>
      <c r="H57" s="33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4" t="str">
        <f t="shared" si="1"/>
        <v/>
      </c>
      <c r="BA57" s="34" t="str">
        <f t="shared" si="2"/>
        <v/>
      </c>
      <c r="BB57" s="34" t="str">
        <f t="shared" si="3"/>
        <v/>
      </c>
      <c r="BC57" s="35" t="str">
        <f t="shared" si="4"/>
        <v/>
      </c>
      <c r="BD57" s="35" t="str">
        <f t="shared" si="5"/>
        <v/>
      </c>
      <c r="BE57" s="35" t="str">
        <f t="shared" si="6"/>
        <v/>
      </c>
      <c r="BF57" s="35" t="str">
        <f t="shared" si="7"/>
        <v/>
      </c>
      <c r="BG57" s="35" t="str">
        <f t="shared" si="8"/>
        <v/>
      </c>
      <c r="BH57" s="35" t="str">
        <f t="shared" si="9"/>
        <v/>
      </c>
      <c r="BI57" s="35" t="str">
        <f t="shared" si="10"/>
        <v/>
      </c>
      <c r="BJ57" s="35" t="str">
        <f t="shared" si="11"/>
        <v/>
      </c>
      <c r="BK57" s="35" t="str">
        <f t="shared" si="12"/>
        <v/>
      </c>
      <c r="BL57" s="34" t="str">
        <f t="shared" si="13"/>
        <v/>
      </c>
      <c r="BM57" s="36" t="str">
        <f t="shared" si="14"/>
        <v/>
      </c>
      <c r="BN57" s="36" t="str">
        <f t="shared" si="15"/>
        <v/>
      </c>
      <c r="BO57" s="36" t="str">
        <f t="shared" si="16"/>
        <v/>
      </c>
    </row>
    <row r="58" ht="15.75" customHeight="1">
      <c r="A58" s="31"/>
      <c r="B58" s="32"/>
      <c r="C58" s="32"/>
      <c r="D58" s="32"/>
      <c r="E58" s="31"/>
      <c r="F58" s="31"/>
      <c r="G58" s="31"/>
      <c r="H58" s="33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4" t="str">
        <f t="shared" si="1"/>
        <v/>
      </c>
      <c r="BA58" s="34" t="str">
        <f t="shared" si="2"/>
        <v/>
      </c>
      <c r="BB58" s="34" t="str">
        <f t="shared" si="3"/>
        <v/>
      </c>
      <c r="BC58" s="35" t="str">
        <f t="shared" si="4"/>
        <v/>
      </c>
      <c r="BD58" s="35" t="str">
        <f t="shared" si="5"/>
        <v/>
      </c>
      <c r="BE58" s="35" t="str">
        <f t="shared" si="6"/>
        <v/>
      </c>
      <c r="BF58" s="35" t="str">
        <f t="shared" si="7"/>
        <v/>
      </c>
      <c r="BG58" s="35" t="str">
        <f t="shared" si="8"/>
        <v/>
      </c>
      <c r="BH58" s="35" t="str">
        <f t="shared" si="9"/>
        <v/>
      </c>
      <c r="BI58" s="35" t="str">
        <f t="shared" si="10"/>
        <v/>
      </c>
      <c r="BJ58" s="35" t="str">
        <f t="shared" si="11"/>
        <v/>
      </c>
      <c r="BK58" s="35" t="str">
        <f t="shared" si="12"/>
        <v/>
      </c>
      <c r="BL58" s="34" t="str">
        <f t="shared" si="13"/>
        <v/>
      </c>
      <c r="BM58" s="36" t="str">
        <f t="shared" si="14"/>
        <v/>
      </c>
      <c r="BN58" s="36" t="str">
        <f t="shared" si="15"/>
        <v/>
      </c>
      <c r="BO58" s="36" t="str">
        <f t="shared" si="16"/>
        <v/>
      </c>
    </row>
    <row r="59" ht="15.75" customHeight="1">
      <c r="A59" s="31"/>
      <c r="B59" s="32"/>
      <c r="C59" s="32"/>
      <c r="D59" s="32"/>
      <c r="E59" s="31"/>
      <c r="F59" s="31"/>
      <c r="G59" s="31"/>
      <c r="H59" s="33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4" t="str">
        <f t="shared" si="1"/>
        <v/>
      </c>
      <c r="BA59" s="34" t="str">
        <f t="shared" si="2"/>
        <v/>
      </c>
      <c r="BB59" s="34" t="str">
        <f t="shared" si="3"/>
        <v/>
      </c>
      <c r="BC59" s="35" t="str">
        <f t="shared" si="4"/>
        <v/>
      </c>
      <c r="BD59" s="35" t="str">
        <f t="shared" si="5"/>
        <v/>
      </c>
      <c r="BE59" s="35" t="str">
        <f t="shared" si="6"/>
        <v/>
      </c>
      <c r="BF59" s="35" t="str">
        <f t="shared" si="7"/>
        <v/>
      </c>
      <c r="BG59" s="35" t="str">
        <f t="shared" si="8"/>
        <v/>
      </c>
      <c r="BH59" s="35" t="str">
        <f t="shared" si="9"/>
        <v/>
      </c>
      <c r="BI59" s="35" t="str">
        <f t="shared" si="10"/>
        <v/>
      </c>
      <c r="BJ59" s="35" t="str">
        <f t="shared" si="11"/>
        <v/>
      </c>
      <c r="BK59" s="35" t="str">
        <f t="shared" si="12"/>
        <v/>
      </c>
      <c r="BL59" s="34" t="str">
        <f t="shared" si="13"/>
        <v/>
      </c>
      <c r="BM59" s="36" t="str">
        <f t="shared" si="14"/>
        <v/>
      </c>
      <c r="BN59" s="36" t="str">
        <f t="shared" si="15"/>
        <v/>
      </c>
      <c r="BO59" s="36" t="str">
        <f t="shared" si="16"/>
        <v/>
      </c>
    </row>
    <row r="60" ht="15.75" customHeight="1">
      <c r="A60" s="31"/>
      <c r="B60" s="32"/>
      <c r="C60" s="32"/>
      <c r="D60" s="32"/>
      <c r="E60" s="31"/>
      <c r="F60" s="31"/>
      <c r="G60" s="31"/>
      <c r="H60" s="33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4" t="str">
        <f t="shared" si="1"/>
        <v/>
      </c>
      <c r="BA60" s="34" t="str">
        <f t="shared" si="2"/>
        <v/>
      </c>
      <c r="BB60" s="34" t="str">
        <f t="shared" si="3"/>
        <v/>
      </c>
      <c r="BC60" s="35" t="str">
        <f t="shared" si="4"/>
        <v/>
      </c>
      <c r="BD60" s="35" t="str">
        <f t="shared" si="5"/>
        <v/>
      </c>
      <c r="BE60" s="35" t="str">
        <f t="shared" si="6"/>
        <v/>
      </c>
      <c r="BF60" s="35" t="str">
        <f t="shared" si="7"/>
        <v/>
      </c>
      <c r="BG60" s="35" t="str">
        <f t="shared" si="8"/>
        <v/>
      </c>
      <c r="BH60" s="35" t="str">
        <f t="shared" si="9"/>
        <v/>
      </c>
      <c r="BI60" s="35" t="str">
        <f t="shared" si="10"/>
        <v/>
      </c>
      <c r="BJ60" s="35" t="str">
        <f t="shared" si="11"/>
        <v/>
      </c>
      <c r="BK60" s="35" t="str">
        <f t="shared" si="12"/>
        <v/>
      </c>
      <c r="BL60" s="34" t="str">
        <f t="shared" si="13"/>
        <v/>
      </c>
      <c r="BM60" s="36" t="str">
        <f t="shared" si="14"/>
        <v/>
      </c>
      <c r="BN60" s="36" t="str">
        <f t="shared" si="15"/>
        <v/>
      </c>
      <c r="BO60" s="36" t="str">
        <f t="shared" si="16"/>
        <v/>
      </c>
    </row>
    <row r="61" ht="15.75" customHeight="1">
      <c r="A61" s="31"/>
      <c r="B61" s="32"/>
      <c r="C61" s="32"/>
      <c r="D61" s="32"/>
      <c r="E61" s="31"/>
      <c r="F61" s="31"/>
      <c r="G61" s="31"/>
      <c r="H61" s="33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4" t="str">
        <f t="shared" si="1"/>
        <v/>
      </c>
      <c r="BA61" s="34" t="str">
        <f t="shared" si="2"/>
        <v/>
      </c>
      <c r="BB61" s="34" t="str">
        <f t="shared" si="3"/>
        <v/>
      </c>
      <c r="BC61" s="35" t="str">
        <f t="shared" si="4"/>
        <v/>
      </c>
      <c r="BD61" s="35" t="str">
        <f t="shared" si="5"/>
        <v/>
      </c>
      <c r="BE61" s="35" t="str">
        <f t="shared" si="6"/>
        <v/>
      </c>
      <c r="BF61" s="35" t="str">
        <f t="shared" si="7"/>
        <v/>
      </c>
      <c r="BG61" s="35" t="str">
        <f t="shared" si="8"/>
        <v/>
      </c>
      <c r="BH61" s="35" t="str">
        <f t="shared" si="9"/>
        <v/>
      </c>
      <c r="BI61" s="35" t="str">
        <f t="shared" si="10"/>
        <v/>
      </c>
      <c r="BJ61" s="35" t="str">
        <f t="shared" si="11"/>
        <v/>
      </c>
      <c r="BK61" s="35" t="str">
        <f t="shared" si="12"/>
        <v/>
      </c>
      <c r="BL61" s="34" t="str">
        <f t="shared" si="13"/>
        <v/>
      </c>
      <c r="BM61" s="36" t="str">
        <f t="shared" si="14"/>
        <v/>
      </c>
      <c r="BN61" s="36" t="str">
        <f t="shared" si="15"/>
        <v/>
      </c>
      <c r="BO61" s="36" t="str">
        <f t="shared" si="16"/>
        <v/>
      </c>
    </row>
    <row r="62" ht="15.75" customHeight="1">
      <c r="A62" s="31"/>
      <c r="B62" s="32"/>
      <c r="C62" s="32"/>
      <c r="D62" s="32"/>
      <c r="E62" s="31"/>
      <c r="F62" s="31"/>
      <c r="G62" s="31"/>
      <c r="H62" s="33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4" t="str">
        <f t="shared" si="1"/>
        <v/>
      </c>
      <c r="BA62" s="34" t="str">
        <f t="shared" si="2"/>
        <v/>
      </c>
      <c r="BB62" s="34" t="str">
        <f t="shared" si="3"/>
        <v/>
      </c>
      <c r="BC62" s="35" t="str">
        <f t="shared" si="4"/>
        <v/>
      </c>
      <c r="BD62" s="35" t="str">
        <f t="shared" si="5"/>
        <v/>
      </c>
      <c r="BE62" s="35" t="str">
        <f t="shared" si="6"/>
        <v/>
      </c>
      <c r="BF62" s="35" t="str">
        <f t="shared" si="7"/>
        <v/>
      </c>
      <c r="BG62" s="35" t="str">
        <f t="shared" si="8"/>
        <v/>
      </c>
      <c r="BH62" s="35" t="str">
        <f t="shared" si="9"/>
        <v/>
      </c>
      <c r="BI62" s="35" t="str">
        <f t="shared" si="10"/>
        <v/>
      </c>
      <c r="BJ62" s="35" t="str">
        <f t="shared" si="11"/>
        <v/>
      </c>
      <c r="BK62" s="35" t="str">
        <f t="shared" si="12"/>
        <v/>
      </c>
      <c r="BL62" s="34" t="str">
        <f t="shared" si="13"/>
        <v/>
      </c>
      <c r="BM62" s="36" t="str">
        <f t="shared" si="14"/>
        <v/>
      </c>
      <c r="BN62" s="36" t="str">
        <f t="shared" si="15"/>
        <v/>
      </c>
      <c r="BO62" s="36" t="str">
        <f t="shared" si="16"/>
        <v/>
      </c>
    </row>
    <row r="63" ht="15.75" customHeight="1">
      <c r="A63" s="31"/>
      <c r="B63" s="32"/>
      <c r="C63" s="32"/>
      <c r="D63" s="32"/>
      <c r="E63" s="31"/>
      <c r="F63" s="31"/>
      <c r="G63" s="31"/>
      <c r="H63" s="33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4" t="str">
        <f t="shared" si="1"/>
        <v/>
      </c>
      <c r="BA63" s="34" t="str">
        <f t="shared" si="2"/>
        <v/>
      </c>
      <c r="BB63" s="34" t="str">
        <f t="shared" si="3"/>
        <v/>
      </c>
      <c r="BC63" s="35" t="str">
        <f t="shared" si="4"/>
        <v/>
      </c>
      <c r="BD63" s="35" t="str">
        <f t="shared" si="5"/>
        <v/>
      </c>
      <c r="BE63" s="35" t="str">
        <f t="shared" si="6"/>
        <v/>
      </c>
      <c r="BF63" s="35" t="str">
        <f t="shared" si="7"/>
        <v/>
      </c>
      <c r="BG63" s="35" t="str">
        <f t="shared" si="8"/>
        <v/>
      </c>
      <c r="BH63" s="35" t="str">
        <f t="shared" si="9"/>
        <v/>
      </c>
      <c r="BI63" s="35" t="str">
        <f t="shared" si="10"/>
        <v/>
      </c>
      <c r="BJ63" s="35" t="str">
        <f t="shared" si="11"/>
        <v/>
      </c>
      <c r="BK63" s="35" t="str">
        <f t="shared" si="12"/>
        <v/>
      </c>
      <c r="BL63" s="34" t="str">
        <f t="shared" si="13"/>
        <v/>
      </c>
      <c r="BM63" s="36" t="str">
        <f t="shared" si="14"/>
        <v/>
      </c>
      <c r="BN63" s="36" t="str">
        <f t="shared" si="15"/>
        <v/>
      </c>
      <c r="BO63" s="36" t="str">
        <f t="shared" si="16"/>
        <v/>
      </c>
    </row>
    <row r="64" ht="15.75" customHeight="1">
      <c r="A64" s="31"/>
      <c r="B64" s="32"/>
      <c r="C64" s="32"/>
      <c r="D64" s="32"/>
      <c r="E64" s="31"/>
      <c r="F64" s="31"/>
      <c r="G64" s="31"/>
      <c r="H64" s="33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4" t="str">
        <f t="shared" si="1"/>
        <v/>
      </c>
      <c r="BA64" s="34" t="str">
        <f t="shared" si="2"/>
        <v/>
      </c>
      <c r="BB64" s="34" t="str">
        <f t="shared" si="3"/>
        <v/>
      </c>
      <c r="BC64" s="35" t="str">
        <f t="shared" si="4"/>
        <v/>
      </c>
      <c r="BD64" s="35" t="str">
        <f t="shared" si="5"/>
        <v/>
      </c>
      <c r="BE64" s="35" t="str">
        <f t="shared" si="6"/>
        <v/>
      </c>
      <c r="BF64" s="35" t="str">
        <f t="shared" si="7"/>
        <v/>
      </c>
      <c r="BG64" s="35" t="str">
        <f t="shared" si="8"/>
        <v/>
      </c>
      <c r="BH64" s="35" t="str">
        <f t="shared" si="9"/>
        <v/>
      </c>
      <c r="BI64" s="35" t="str">
        <f t="shared" si="10"/>
        <v/>
      </c>
      <c r="BJ64" s="35" t="str">
        <f t="shared" si="11"/>
        <v/>
      </c>
      <c r="BK64" s="35" t="str">
        <f t="shared" si="12"/>
        <v/>
      </c>
      <c r="BL64" s="34" t="str">
        <f t="shared" si="13"/>
        <v/>
      </c>
      <c r="BM64" s="36" t="str">
        <f t="shared" si="14"/>
        <v/>
      </c>
      <c r="BN64" s="36" t="str">
        <f t="shared" si="15"/>
        <v/>
      </c>
      <c r="BO64" s="36" t="str">
        <f t="shared" si="16"/>
        <v/>
      </c>
    </row>
    <row r="65" ht="15.75" customHeight="1">
      <c r="A65" s="31"/>
      <c r="B65" s="32"/>
      <c r="C65" s="32"/>
      <c r="D65" s="32"/>
      <c r="E65" s="31"/>
      <c r="F65" s="31"/>
      <c r="G65" s="31"/>
      <c r="H65" s="33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4" t="str">
        <f t="shared" si="1"/>
        <v/>
      </c>
      <c r="BA65" s="34" t="str">
        <f t="shared" si="2"/>
        <v/>
      </c>
      <c r="BB65" s="34" t="str">
        <f t="shared" si="3"/>
        <v/>
      </c>
      <c r="BC65" s="35" t="str">
        <f t="shared" si="4"/>
        <v/>
      </c>
      <c r="BD65" s="35" t="str">
        <f t="shared" si="5"/>
        <v/>
      </c>
      <c r="BE65" s="35" t="str">
        <f t="shared" si="6"/>
        <v/>
      </c>
      <c r="BF65" s="35" t="str">
        <f t="shared" si="7"/>
        <v/>
      </c>
      <c r="BG65" s="35" t="str">
        <f t="shared" si="8"/>
        <v/>
      </c>
      <c r="BH65" s="35" t="str">
        <f t="shared" si="9"/>
        <v/>
      </c>
      <c r="BI65" s="35" t="str">
        <f t="shared" si="10"/>
        <v/>
      </c>
      <c r="BJ65" s="35" t="str">
        <f t="shared" si="11"/>
        <v/>
      </c>
      <c r="BK65" s="35" t="str">
        <f t="shared" si="12"/>
        <v/>
      </c>
      <c r="BL65" s="34" t="str">
        <f t="shared" si="13"/>
        <v/>
      </c>
      <c r="BM65" s="36" t="str">
        <f t="shared" si="14"/>
        <v/>
      </c>
      <c r="BN65" s="36" t="str">
        <f t="shared" si="15"/>
        <v/>
      </c>
      <c r="BO65" s="36" t="str">
        <f t="shared" si="16"/>
        <v/>
      </c>
    </row>
    <row r="66" ht="15.75" customHeight="1">
      <c r="A66" s="31"/>
      <c r="B66" s="32"/>
      <c r="C66" s="32"/>
      <c r="D66" s="32"/>
      <c r="E66" s="31"/>
      <c r="F66" s="31"/>
      <c r="G66" s="31"/>
      <c r="H66" s="33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4" t="str">
        <f t="shared" si="1"/>
        <v/>
      </c>
      <c r="BA66" s="34" t="str">
        <f t="shared" si="2"/>
        <v/>
      </c>
      <c r="BB66" s="34" t="str">
        <f t="shared" si="3"/>
        <v/>
      </c>
      <c r="BC66" s="35" t="str">
        <f t="shared" si="4"/>
        <v/>
      </c>
      <c r="BD66" s="35" t="str">
        <f t="shared" si="5"/>
        <v/>
      </c>
      <c r="BE66" s="35" t="str">
        <f t="shared" si="6"/>
        <v/>
      </c>
      <c r="BF66" s="35" t="str">
        <f t="shared" si="7"/>
        <v/>
      </c>
      <c r="BG66" s="35" t="str">
        <f t="shared" si="8"/>
        <v/>
      </c>
      <c r="BH66" s="35" t="str">
        <f t="shared" si="9"/>
        <v/>
      </c>
      <c r="BI66" s="35" t="str">
        <f t="shared" si="10"/>
        <v/>
      </c>
      <c r="BJ66" s="35" t="str">
        <f t="shared" si="11"/>
        <v/>
      </c>
      <c r="BK66" s="35" t="str">
        <f t="shared" si="12"/>
        <v/>
      </c>
      <c r="BL66" s="34" t="str">
        <f t="shared" si="13"/>
        <v/>
      </c>
      <c r="BM66" s="36" t="str">
        <f t="shared" si="14"/>
        <v/>
      </c>
      <c r="BN66" s="36" t="str">
        <f t="shared" si="15"/>
        <v/>
      </c>
      <c r="BO66" s="36" t="str">
        <f t="shared" si="16"/>
        <v/>
      </c>
    </row>
    <row r="67" ht="15.75" customHeight="1">
      <c r="A67" s="31"/>
      <c r="B67" s="32"/>
      <c r="C67" s="32"/>
      <c r="D67" s="32"/>
      <c r="E67" s="31"/>
      <c r="F67" s="31"/>
      <c r="G67" s="31"/>
      <c r="H67" s="33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4" t="str">
        <f t="shared" si="1"/>
        <v/>
      </c>
      <c r="BA67" s="34" t="str">
        <f t="shared" si="2"/>
        <v/>
      </c>
      <c r="BB67" s="34" t="str">
        <f t="shared" si="3"/>
        <v/>
      </c>
      <c r="BC67" s="35" t="str">
        <f t="shared" si="4"/>
        <v/>
      </c>
      <c r="BD67" s="35" t="str">
        <f t="shared" si="5"/>
        <v/>
      </c>
      <c r="BE67" s="35" t="str">
        <f t="shared" si="6"/>
        <v/>
      </c>
      <c r="BF67" s="35" t="str">
        <f t="shared" si="7"/>
        <v/>
      </c>
      <c r="BG67" s="35" t="str">
        <f t="shared" si="8"/>
        <v/>
      </c>
      <c r="BH67" s="35" t="str">
        <f t="shared" si="9"/>
        <v/>
      </c>
      <c r="BI67" s="35" t="str">
        <f t="shared" si="10"/>
        <v/>
      </c>
      <c r="BJ67" s="35" t="str">
        <f t="shared" si="11"/>
        <v/>
      </c>
      <c r="BK67" s="35" t="str">
        <f t="shared" si="12"/>
        <v/>
      </c>
      <c r="BL67" s="34" t="str">
        <f t="shared" si="13"/>
        <v/>
      </c>
      <c r="BM67" s="36" t="str">
        <f t="shared" si="14"/>
        <v/>
      </c>
      <c r="BN67" s="36" t="str">
        <f t="shared" si="15"/>
        <v/>
      </c>
      <c r="BO67" s="36" t="str">
        <f t="shared" si="16"/>
        <v/>
      </c>
    </row>
    <row r="68" ht="15.75" customHeight="1">
      <c r="A68" s="31"/>
      <c r="B68" s="32"/>
      <c r="C68" s="32"/>
      <c r="D68" s="32"/>
      <c r="E68" s="31"/>
      <c r="F68" s="31"/>
      <c r="G68" s="31"/>
      <c r="H68" s="33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4" t="str">
        <f t="shared" si="1"/>
        <v/>
      </c>
      <c r="BA68" s="34" t="str">
        <f t="shared" si="2"/>
        <v/>
      </c>
      <c r="BB68" s="34" t="str">
        <f t="shared" si="3"/>
        <v/>
      </c>
      <c r="BC68" s="35" t="str">
        <f t="shared" si="4"/>
        <v/>
      </c>
      <c r="BD68" s="35" t="str">
        <f t="shared" si="5"/>
        <v/>
      </c>
      <c r="BE68" s="35" t="str">
        <f t="shared" si="6"/>
        <v/>
      </c>
      <c r="BF68" s="35" t="str">
        <f t="shared" si="7"/>
        <v/>
      </c>
      <c r="BG68" s="35" t="str">
        <f t="shared" si="8"/>
        <v/>
      </c>
      <c r="BH68" s="35" t="str">
        <f t="shared" si="9"/>
        <v/>
      </c>
      <c r="BI68" s="35" t="str">
        <f t="shared" si="10"/>
        <v/>
      </c>
      <c r="BJ68" s="35" t="str">
        <f t="shared" si="11"/>
        <v/>
      </c>
      <c r="BK68" s="35" t="str">
        <f t="shared" si="12"/>
        <v/>
      </c>
      <c r="BL68" s="34" t="str">
        <f t="shared" si="13"/>
        <v/>
      </c>
      <c r="BM68" s="36" t="str">
        <f t="shared" si="14"/>
        <v/>
      </c>
      <c r="BN68" s="36" t="str">
        <f t="shared" si="15"/>
        <v/>
      </c>
      <c r="BO68" s="36" t="str">
        <f t="shared" si="16"/>
        <v/>
      </c>
    </row>
    <row r="69" ht="15.75" customHeight="1">
      <c r="A69" s="31"/>
      <c r="B69" s="32"/>
      <c r="C69" s="32"/>
      <c r="D69" s="32"/>
      <c r="E69" s="31"/>
      <c r="F69" s="31"/>
      <c r="G69" s="31"/>
      <c r="H69" s="33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4" t="str">
        <f t="shared" si="1"/>
        <v/>
      </c>
      <c r="BA69" s="34" t="str">
        <f t="shared" si="2"/>
        <v/>
      </c>
      <c r="BB69" s="34" t="str">
        <f t="shared" si="3"/>
        <v/>
      </c>
      <c r="BC69" s="35" t="str">
        <f t="shared" si="4"/>
        <v/>
      </c>
      <c r="BD69" s="35" t="str">
        <f t="shared" si="5"/>
        <v/>
      </c>
      <c r="BE69" s="35" t="str">
        <f t="shared" si="6"/>
        <v/>
      </c>
      <c r="BF69" s="35" t="str">
        <f t="shared" si="7"/>
        <v/>
      </c>
      <c r="BG69" s="35" t="str">
        <f t="shared" si="8"/>
        <v/>
      </c>
      <c r="BH69" s="35" t="str">
        <f t="shared" si="9"/>
        <v/>
      </c>
      <c r="BI69" s="35" t="str">
        <f t="shared" si="10"/>
        <v/>
      </c>
      <c r="BJ69" s="35" t="str">
        <f t="shared" si="11"/>
        <v/>
      </c>
      <c r="BK69" s="35" t="str">
        <f t="shared" si="12"/>
        <v/>
      </c>
      <c r="BL69" s="34" t="str">
        <f t="shared" si="13"/>
        <v/>
      </c>
      <c r="BM69" s="36" t="str">
        <f t="shared" si="14"/>
        <v/>
      </c>
      <c r="BN69" s="36" t="str">
        <f t="shared" si="15"/>
        <v/>
      </c>
      <c r="BO69" s="36" t="str">
        <f t="shared" si="16"/>
        <v/>
      </c>
    </row>
    <row r="70" ht="15.75" customHeight="1">
      <c r="A70" s="31"/>
      <c r="B70" s="32"/>
      <c r="C70" s="32"/>
      <c r="D70" s="32"/>
      <c r="E70" s="31"/>
      <c r="F70" s="31"/>
      <c r="G70" s="31"/>
      <c r="H70" s="33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4" t="str">
        <f t="shared" si="1"/>
        <v/>
      </c>
      <c r="BA70" s="34" t="str">
        <f t="shared" si="2"/>
        <v/>
      </c>
      <c r="BB70" s="34" t="str">
        <f t="shared" si="3"/>
        <v/>
      </c>
      <c r="BC70" s="35" t="str">
        <f t="shared" si="4"/>
        <v/>
      </c>
      <c r="BD70" s="35" t="str">
        <f t="shared" si="5"/>
        <v/>
      </c>
      <c r="BE70" s="35" t="str">
        <f t="shared" si="6"/>
        <v/>
      </c>
      <c r="BF70" s="35" t="str">
        <f t="shared" si="7"/>
        <v/>
      </c>
      <c r="BG70" s="35" t="str">
        <f t="shared" si="8"/>
        <v/>
      </c>
      <c r="BH70" s="35" t="str">
        <f t="shared" si="9"/>
        <v/>
      </c>
      <c r="BI70" s="35" t="str">
        <f t="shared" si="10"/>
        <v/>
      </c>
      <c r="BJ70" s="35" t="str">
        <f t="shared" si="11"/>
        <v/>
      </c>
      <c r="BK70" s="35" t="str">
        <f t="shared" si="12"/>
        <v/>
      </c>
      <c r="BL70" s="34" t="str">
        <f t="shared" si="13"/>
        <v/>
      </c>
      <c r="BM70" s="36" t="str">
        <f t="shared" si="14"/>
        <v/>
      </c>
      <c r="BN70" s="36" t="str">
        <f t="shared" si="15"/>
        <v/>
      </c>
      <c r="BO70" s="36" t="str">
        <f t="shared" si="16"/>
        <v/>
      </c>
    </row>
    <row r="71" ht="15.75" customHeight="1">
      <c r="A71" s="31"/>
      <c r="B71" s="32"/>
      <c r="C71" s="32"/>
      <c r="D71" s="32"/>
      <c r="E71" s="31"/>
      <c r="F71" s="31"/>
      <c r="G71" s="31"/>
      <c r="H71" s="33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4" t="str">
        <f t="shared" si="1"/>
        <v/>
      </c>
      <c r="BA71" s="34" t="str">
        <f t="shared" si="2"/>
        <v/>
      </c>
      <c r="BB71" s="34" t="str">
        <f t="shared" si="3"/>
        <v/>
      </c>
      <c r="BC71" s="35" t="str">
        <f t="shared" si="4"/>
        <v/>
      </c>
      <c r="BD71" s="35" t="str">
        <f t="shared" si="5"/>
        <v/>
      </c>
      <c r="BE71" s="35" t="str">
        <f t="shared" si="6"/>
        <v/>
      </c>
      <c r="BF71" s="35" t="str">
        <f t="shared" si="7"/>
        <v/>
      </c>
      <c r="BG71" s="35" t="str">
        <f t="shared" si="8"/>
        <v/>
      </c>
      <c r="BH71" s="35" t="str">
        <f t="shared" si="9"/>
        <v/>
      </c>
      <c r="BI71" s="35" t="str">
        <f t="shared" si="10"/>
        <v/>
      </c>
      <c r="BJ71" s="35" t="str">
        <f t="shared" si="11"/>
        <v/>
      </c>
      <c r="BK71" s="35" t="str">
        <f t="shared" si="12"/>
        <v/>
      </c>
      <c r="BL71" s="34" t="str">
        <f t="shared" si="13"/>
        <v/>
      </c>
      <c r="BM71" s="36" t="str">
        <f t="shared" si="14"/>
        <v/>
      </c>
      <c r="BN71" s="36" t="str">
        <f t="shared" si="15"/>
        <v/>
      </c>
      <c r="BO71" s="36" t="str">
        <f t="shared" si="16"/>
        <v/>
      </c>
    </row>
    <row r="72" ht="15.75" customHeight="1">
      <c r="A72" s="31"/>
      <c r="B72" s="32"/>
      <c r="C72" s="32"/>
      <c r="D72" s="32"/>
      <c r="E72" s="31"/>
      <c r="F72" s="31"/>
      <c r="G72" s="31"/>
      <c r="H72" s="33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4" t="str">
        <f t="shared" si="1"/>
        <v/>
      </c>
      <c r="BA72" s="34" t="str">
        <f t="shared" si="2"/>
        <v/>
      </c>
      <c r="BB72" s="34" t="str">
        <f t="shared" si="3"/>
        <v/>
      </c>
      <c r="BC72" s="35" t="str">
        <f t="shared" si="4"/>
        <v/>
      </c>
      <c r="BD72" s="35" t="str">
        <f t="shared" si="5"/>
        <v/>
      </c>
      <c r="BE72" s="35" t="str">
        <f t="shared" si="6"/>
        <v/>
      </c>
      <c r="BF72" s="35" t="str">
        <f t="shared" si="7"/>
        <v/>
      </c>
      <c r="BG72" s="35" t="str">
        <f t="shared" si="8"/>
        <v/>
      </c>
      <c r="BH72" s="35" t="str">
        <f t="shared" si="9"/>
        <v/>
      </c>
      <c r="BI72" s="35" t="str">
        <f t="shared" si="10"/>
        <v/>
      </c>
      <c r="BJ72" s="35" t="str">
        <f t="shared" si="11"/>
        <v/>
      </c>
      <c r="BK72" s="35" t="str">
        <f t="shared" si="12"/>
        <v/>
      </c>
      <c r="BL72" s="34" t="str">
        <f t="shared" si="13"/>
        <v/>
      </c>
      <c r="BM72" s="36" t="str">
        <f t="shared" si="14"/>
        <v/>
      </c>
      <c r="BN72" s="36" t="str">
        <f t="shared" si="15"/>
        <v/>
      </c>
      <c r="BO72" s="36" t="str">
        <f t="shared" si="16"/>
        <v/>
      </c>
    </row>
    <row r="73" ht="15.75" customHeight="1">
      <c r="A73" s="31"/>
      <c r="B73" s="32"/>
      <c r="C73" s="32"/>
      <c r="D73" s="32"/>
      <c r="E73" s="31"/>
      <c r="F73" s="31"/>
      <c r="G73" s="31"/>
      <c r="H73" s="33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4" t="str">
        <f t="shared" si="1"/>
        <v/>
      </c>
      <c r="BA73" s="34" t="str">
        <f t="shared" si="2"/>
        <v/>
      </c>
      <c r="BB73" s="34" t="str">
        <f t="shared" si="3"/>
        <v/>
      </c>
      <c r="BC73" s="35" t="str">
        <f t="shared" si="4"/>
        <v/>
      </c>
      <c r="BD73" s="35" t="str">
        <f t="shared" si="5"/>
        <v/>
      </c>
      <c r="BE73" s="35" t="str">
        <f t="shared" si="6"/>
        <v/>
      </c>
      <c r="BF73" s="35" t="str">
        <f t="shared" si="7"/>
        <v/>
      </c>
      <c r="BG73" s="35" t="str">
        <f t="shared" si="8"/>
        <v/>
      </c>
      <c r="BH73" s="35" t="str">
        <f t="shared" si="9"/>
        <v/>
      </c>
      <c r="BI73" s="35" t="str">
        <f t="shared" si="10"/>
        <v/>
      </c>
      <c r="BJ73" s="35" t="str">
        <f t="shared" si="11"/>
        <v/>
      </c>
      <c r="BK73" s="35" t="str">
        <f t="shared" si="12"/>
        <v/>
      </c>
      <c r="BL73" s="34" t="str">
        <f t="shared" si="13"/>
        <v/>
      </c>
      <c r="BM73" s="36" t="str">
        <f t="shared" si="14"/>
        <v/>
      </c>
      <c r="BN73" s="36" t="str">
        <f t="shared" si="15"/>
        <v/>
      </c>
      <c r="BO73" s="36" t="str">
        <f t="shared" si="16"/>
        <v/>
      </c>
    </row>
    <row r="74" ht="15.75" customHeight="1">
      <c r="A74" s="31"/>
      <c r="B74" s="32"/>
      <c r="C74" s="32"/>
      <c r="D74" s="32"/>
      <c r="E74" s="31"/>
      <c r="F74" s="31"/>
      <c r="G74" s="31"/>
      <c r="H74" s="33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4" t="str">
        <f t="shared" si="1"/>
        <v/>
      </c>
      <c r="BA74" s="34" t="str">
        <f t="shared" si="2"/>
        <v/>
      </c>
      <c r="BB74" s="34" t="str">
        <f t="shared" si="3"/>
        <v/>
      </c>
      <c r="BC74" s="35" t="str">
        <f t="shared" si="4"/>
        <v/>
      </c>
      <c r="BD74" s="35" t="str">
        <f t="shared" si="5"/>
        <v/>
      </c>
      <c r="BE74" s="35" t="str">
        <f t="shared" si="6"/>
        <v/>
      </c>
      <c r="BF74" s="35" t="str">
        <f t="shared" si="7"/>
        <v/>
      </c>
      <c r="BG74" s="35" t="str">
        <f t="shared" si="8"/>
        <v/>
      </c>
      <c r="BH74" s="35" t="str">
        <f t="shared" si="9"/>
        <v/>
      </c>
      <c r="BI74" s="35" t="str">
        <f t="shared" si="10"/>
        <v/>
      </c>
      <c r="BJ74" s="35" t="str">
        <f t="shared" si="11"/>
        <v/>
      </c>
      <c r="BK74" s="35" t="str">
        <f t="shared" si="12"/>
        <v/>
      </c>
      <c r="BL74" s="34" t="str">
        <f t="shared" si="13"/>
        <v/>
      </c>
      <c r="BM74" s="36" t="str">
        <f t="shared" si="14"/>
        <v/>
      </c>
      <c r="BN74" s="36" t="str">
        <f t="shared" si="15"/>
        <v/>
      </c>
      <c r="BO74" s="36" t="str">
        <f t="shared" si="16"/>
        <v/>
      </c>
    </row>
    <row r="75" ht="15.75" customHeight="1">
      <c r="A75" s="31"/>
      <c r="B75" s="32"/>
      <c r="C75" s="32"/>
      <c r="D75" s="32"/>
      <c r="E75" s="31"/>
      <c r="F75" s="31"/>
      <c r="G75" s="31"/>
      <c r="H75" s="33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4" t="str">
        <f t="shared" si="1"/>
        <v/>
      </c>
      <c r="BA75" s="34" t="str">
        <f t="shared" si="2"/>
        <v/>
      </c>
      <c r="BB75" s="34" t="str">
        <f t="shared" si="3"/>
        <v/>
      </c>
      <c r="BC75" s="35" t="str">
        <f t="shared" si="4"/>
        <v/>
      </c>
      <c r="BD75" s="35" t="str">
        <f t="shared" si="5"/>
        <v/>
      </c>
      <c r="BE75" s="35" t="str">
        <f t="shared" si="6"/>
        <v/>
      </c>
      <c r="BF75" s="35" t="str">
        <f t="shared" si="7"/>
        <v/>
      </c>
      <c r="BG75" s="35" t="str">
        <f t="shared" si="8"/>
        <v/>
      </c>
      <c r="BH75" s="35" t="str">
        <f t="shared" si="9"/>
        <v/>
      </c>
      <c r="BI75" s="35" t="str">
        <f t="shared" si="10"/>
        <v/>
      </c>
      <c r="BJ75" s="35" t="str">
        <f t="shared" si="11"/>
        <v/>
      </c>
      <c r="BK75" s="35" t="str">
        <f t="shared" si="12"/>
        <v/>
      </c>
      <c r="BL75" s="34" t="str">
        <f t="shared" si="13"/>
        <v/>
      </c>
      <c r="BM75" s="36" t="str">
        <f t="shared" si="14"/>
        <v/>
      </c>
      <c r="BN75" s="36" t="str">
        <f t="shared" si="15"/>
        <v/>
      </c>
      <c r="BO75" s="36" t="str">
        <f t="shared" si="16"/>
        <v/>
      </c>
    </row>
    <row r="76" ht="15.75" customHeight="1">
      <c r="A76" s="31"/>
      <c r="B76" s="32"/>
      <c r="C76" s="32"/>
      <c r="D76" s="32"/>
      <c r="E76" s="31"/>
      <c r="F76" s="31"/>
      <c r="G76" s="31"/>
      <c r="H76" s="33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4" t="str">
        <f t="shared" si="1"/>
        <v/>
      </c>
      <c r="BA76" s="34" t="str">
        <f t="shared" si="2"/>
        <v/>
      </c>
      <c r="BB76" s="34" t="str">
        <f t="shared" si="3"/>
        <v/>
      </c>
      <c r="BC76" s="35" t="str">
        <f t="shared" si="4"/>
        <v/>
      </c>
      <c r="BD76" s="35" t="str">
        <f t="shared" si="5"/>
        <v/>
      </c>
      <c r="BE76" s="35" t="str">
        <f t="shared" si="6"/>
        <v/>
      </c>
      <c r="BF76" s="35" t="str">
        <f t="shared" si="7"/>
        <v/>
      </c>
      <c r="BG76" s="35" t="str">
        <f t="shared" si="8"/>
        <v/>
      </c>
      <c r="BH76" s="35" t="str">
        <f t="shared" si="9"/>
        <v/>
      </c>
      <c r="BI76" s="35" t="str">
        <f t="shared" si="10"/>
        <v/>
      </c>
      <c r="BJ76" s="35" t="str">
        <f t="shared" si="11"/>
        <v/>
      </c>
      <c r="BK76" s="35" t="str">
        <f t="shared" si="12"/>
        <v/>
      </c>
      <c r="BL76" s="34" t="str">
        <f t="shared" si="13"/>
        <v/>
      </c>
      <c r="BM76" s="36" t="str">
        <f t="shared" si="14"/>
        <v/>
      </c>
      <c r="BN76" s="36" t="str">
        <f t="shared" si="15"/>
        <v/>
      </c>
      <c r="BO76" s="36" t="str">
        <f t="shared" si="16"/>
        <v/>
      </c>
    </row>
    <row r="77" ht="15.75" customHeight="1">
      <c r="A77" s="31"/>
      <c r="B77" s="32"/>
      <c r="C77" s="32"/>
      <c r="D77" s="32"/>
      <c r="E77" s="31"/>
      <c r="F77" s="31"/>
      <c r="G77" s="31"/>
      <c r="H77" s="33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4" t="str">
        <f t="shared" si="1"/>
        <v/>
      </c>
      <c r="BA77" s="34" t="str">
        <f t="shared" si="2"/>
        <v/>
      </c>
      <c r="BB77" s="34" t="str">
        <f t="shared" si="3"/>
        <v/>
      </c>
      <c r="BC77" s="35" t="str">
        <f t="shared" si="4"/>
        <v/>
      </c>
      <c r="BD77" s="35" t="str">
        <f t="shared" si="5"/>
        <v/>
      </c>
      <c r="BE77" s="35" t="str">
        <f t="shared" si="6"/>
        <v/>
      </c>
      <c r="BF77" s="35" t="str">
        <f t="shared" si="7"/>
        <v/>
      </c>
      <c r="BG77" s="35" t="str">
        <f t="shared" si="8"/>
        <v/>
      </c>
      <c r="BH77" s="35" t="str">
        <f t="shared" si="9"/>
        <v/>
      </c>
      <c r="BI77" s="35" t="str">
        <f t="shared" si="10"/>
        <v/>
      </c>
      <c r="BJ77" s="35" t="str">
        <f t="shared" si="11"/>
        <v/>
      </c>
      <c r="BK77" s="35" t="str">
        <f t="shared" si="12"/>
        <v/>
      </c>
      <c r="BL77" s="34" t="str">
        <f t="shared" si="13"/>
        <v/>
      </c>
      <c r="BM77" s="36" t="str">
        <f t="shared" si="14"/>
        <v/>
      </c>
      <c r="BN77" s="36" t="str">
        <f t="shared" si="15"/>
        <v/>
      </c>
      <c r="BO77" s="36" t="str">
        <f t="shared" si="16"/>
        <v/>
      </c>
    </row>
    <row r="78" ht="15.75" customHeight="1">
      <c r="A78" s="31"/>
      <c r="B78" s="32"/>
      <c r="C78" s="32"/>
      <c r="D78" s="32"/>
      <c r="E78" s="31"/>
      <c r="F78" s="31"/>
      <c r="G78" s="31"/>
      <c r="H78" s="33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4" t="str">
        <f t="shared" si="1"/>
        <v/>
      </c>
      <c r="BA78" s="34" t="str">
        <f t="shared" si="2"/>
        <v/>
      </c>
      <c r="BB78" s="34" t="str">
        <f t="shared" si="3"/>
        <v/>
      </c>
      <c r="BC78" s="35" t="str">
        <f t="shared" si="4"/>
        <v/>
      </c>
      <c r="BD78" s="35" t="str">
        <f t="shared" si="5"/>
        <v/>
      </c>
      <c r="BE78" s="35" t="str">
        <f t="shared" si="6"/>
        <v/>
      </c>
      <c r="BF78" s="35" t="str">
        <f t="shared" si="7"/>
        <v/>
      </c>
      <c r="BG78" s="35" t="str">
        <f t="shared" si="8"/>
        <v/>
      </c>
      <c r="BH78" s="35" t="str">
        <f t="shared" si="9"/>
        <v/>
      </c>
      <c r="BI78" s="35" t="str">
        <f t="shared" si="10"/>
        <v/>
      </c>
      <c r="BJ78" s="35" t="str">
        <f t="shared" si="11"/>
        <v/>
      </c>
      <c r="BK78" s="35" t="str">
        <f t="shared" si="12"/>
        <v/>
      </c>
      <c r="BL78" s="34" t="str">
        <f t="shared" si="13"/>
        <v/>
      </c>
      <c r="BM78" s="36" t="str">
        <f t="shared" si="14"/>
        <v/>
      </c>
      <c r="BN78" s="36" t="str">
        <f t="shared" si="15"/>
        <v/>
      </c>
      <c r="BO78" s="36" t="str">
        <f t="shared" si="16"/>
        <v/>
      </c>
    </row>
    <row r="79" ht="15.75" customHeight="1">
      <c r="A79" s="31"/>
      <c r="B79" s="32"/>
      <c r="C79" s="32"/>
      <c r="D79" s="32"/>
      <c r="E79" s="31"/>
      <c r="F79" s="31"/>
      <c r="G79" s="31"/>
      <c r="H79" s="33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4" t="str">
        <f t="shared" si="1"/>
        <v/>
      </c>
      <c r="BA79" s="34" t="str">
        <f t="shared" si="2"/>
        <v/>
      </c>
      <c r="BB79" s="34" t="str">
        <f t="shared" si="3"/>
        <v/>
      </c>
      <c r="BC79" s="35" t="str">
        <f t="shared" si="4"/>
        <v/>
      </c>
      <c r="BD79" s="35" t="str">
        <f t="shared" si="5"/>
        <v/>
      </c>
      <c r="BE79" s="35" t="str">
        <f t="shared" si="6"/>
        <v/>
      </c>
      <c r="BF79" s="35" t="str">
        <f t="shared" si="7"/>
        <v/>
      </c>
      <c r="BG79" s="35" t="str">
        <f t="shared" si="8"/>
        <v/>
      </c>
      <c r="BH79" s="35" t="str">
        <f t="shared" si="9"/>
        <v/>
      </c>
      <c r="BI79" s="35" t="str">
        <f t="shared" si="10"/>
        <v/>
      </c>
      <c r="BJ79" s="35" t="str">
        <f t="shared" si="11"/>
        <v/>
      </c>
      <c r="BK79" s="35" t="str">
        <f t="shared" si="12"/>
        <v/>
      </c>
      <c r="BL79" s="34" t="str">
        <f t="shared" si="13"/>
        <v/>
      </c>
      <c r="BM79" s="36" t="str">
        <f t="shared" si="14"/>
        <v/>
      </c>
      <c r="BN79" s="36" t="str">
        <f t="shared" si="15"/>
        <v/>
      </c>
      <c r="BO79" s="36" t="str">
        <f t="shared" si="16"/>
        <v/>
      </c>
    </row>
    <row r="80" ht="15.75" customHeight="1">
      <c r="A80" s="31"/>
      <c r="B80" s="32"/>
      <c r="C80" s="32"/>
      <c r="D80" s="32"/>
      <c r="E80" s="31"/>
      <c r="F80" s="31"/>
      <c r="G80" s="31"/>
      <c r="H80" s="33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4" t="str">
        <f t="shared" si="1"/>
        <v/>
      </c>
      <c r="BA80" s="34" t="str">
        <f t="shared" si="2"/>
        <v/>
      </c>
      <c r="BB80" s="34" t="str">
        <f t="shared" si="3"/>
        <v/>
      </c>
      <c r="BC80" s="35" t="str">
        <f t="shared" si="4"/>
        <v/>
      </c>
      <c r="BD80" s="35" t="str">
        <f t="shared" si="5"/>
        <v/>
      </c>
      <c r="BE80" s="35" t="str">
        <f t="shared" si="6"/>
        <v/>
      </c>
      <c r="BF80" s="35" t="str">
        <f t="shared" si="7"/>
        <v/>
      </c>
      <c r="BG80" s="35" t="str">
        <f t="shared" si="8"/>
        <v/>
      </c>
      <c r="BH80" s="35" t="str">
        <f t="shared" si="9"/>
        <v/>
      </c>
      <c r="BI80" s="35" t="str">
        <f t="shared" si="10"/>
        <v/>
      </c>
      <c r="BJ80" s="35" t="str">
        <f t="shared" si="11"/>
        <v/>
      </c>
      <c r="BK80" s="35" t="str">
        <f t="shared" si="12"/>
        <v/>
      </c>
      <c r="BL80" s="34" t="str">
        <f t="shared" si="13"/>
        <v/>
      </c>
      <c r="BM80" s="36" t="str">
        <f t="shared" si="14"/>
        <v/>
      </c>
      <c r="BN80" s="36" t="str">
        <f t="shared" si="15"/>
        <v/>
      </c>
      <c r="BO80" s="36" t="str">
        <f t="shared" si="16"/>
        <v/>
      </c>
    </row>
    <row r="81" ht="15.75" customHeight="1">
      <c r="A81" s="31"/>
      <c r="B81" s="32"/>
      <c r="C81" s="32"/>
      <c r="D81" s="32"/>
      <c r="E81" s="31"/>
      <c r="F81" s="31"/>
      <c r="G81" s="31"/>
      <c r="H81" s="33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4" t="str">
        <f t="shared" si="1"/>
        <v/>
      </c>
      <c r="BA81" s="34" t="str">
        <f t="shared" si="2"/>
        <v/>
      </c>
      <c r="BB81" s="34" t="str">
        <f t="shared" si="3"/>
        <v/>
      </c>
      <c r="BC81" s="35" t="str">
        <f t="shared" si="4"/>
        <v/>
      </c>
      <c r="BD81" s="35" t="str">
        <f t="shared" si="5"/>
        <v/>
      </c>
      <c r="BE81" s="35" t="str">
        <f t="shared" si="6"/>
        <v/>
      </c>
      <c r="BF81" s="35" t="str">
        <f t="shared" si="7"/>
        <v/>
      </c>
      <c r="BG81" s="35" t="str">
        <f t="shared" si="8"/>
        <v/>
      </c>
      <c r="BH81" s="35" t="str">
        <f t="shared" si="9"/>
        <v/>
      </c>
      <c r="BI81" s="35" t="str">
        <f t="shared" si="10"/>
        <v/>
      </c>
      <c r="BJ81" s="35" t="str">
        <f t="shared" si="11"/>
        <v/>
      </c>
      <c r="BK81" s="35" t="str">
        <f t="shared" si="12"/>
        <v/>
      </c>
      <c r="BL81" s="34" t="str">
        <f t="shared" si="13"/>
        <v/>
      </c>
      <c r="BM81" s="36" t="str">
        <f t="shared" si="14"/>
        <v/>
      </c>
      <c r="BN81" s="36" t="str">
        <f t="shared" si="15"/>
        <v/>
      </c>
      <c r="BO81" s="36" t="str">
        <f t="shared" si="16"/>
        <v/>
      </c>
    </row>
    <row r="82" ht="15.75" customHeight="1">
      <c r="A82" s="31"/>
      <c r="B82" s="32"/>
      <c r="C82" s="32"/>
      <c r="D82" s="32"/>
      <c r="E82" s="31"/>
      <c r="F82" s="31"/>
      <c r="G82" s="31"/>
      <c r="H82" s="33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4" t="str">
        <f t="shared" si="1"/>
        <v/>
      </c>
      <c r="BA82" s="34" t="str">
        <f t="shared" si="2"/>
        <v/>
      </c>
      <c r="BB82" s="34" t="str">
        <f t="shared" si="3"/>
        <v/>
      </c>
      <c r="BC82" s="35" t="str">
        <f t="shared" si="4"/>
        <v/>
      </c>
      <c r="BD82" s="35" t="str">
        <f t="shared" si="5"/>
        <v/>
      </c>
      <c r="BE82" s="35" t="str">
        <f t="shared" si="6"/>
        <v/>
      </c>
      <c r="BF82" s="35" t="str">
        <f t="shared" si="7"/>
        <v/>
      </c>
      <c r="BG82" s="35" t="str">
        <f t="shared" si="8"/>
        <v/>
      </c>
      <c r="BH82" s="35" t="str">
        <f t="shared" si="9"/>
        <v/>
      </c>
      <c r="BI82" s="35" t="str">
        <f t="shared" si="10"/>
        <v/>
      </c>
      <c r="BJ82" s="35" t="str">
        <f t="shared" si="11"/>
        <v/>
      </c>
      <c r="BK82" s="35" t="str">
        <f t="shared" si="12"/>
        <v/>
      </c>
      <c r="BL82" s="34" t="str">
        <f t="shared" si="13"/>
        <v/>
      </c>
      <c r="BM82" s="36" t="str">
        <f t="shared" si="14"/>
        <v/>
      </c>
      <c r="BN82" s="36" t="str">
        <f t="shared" si="15"/>
        <v/>
      </c>
      <c r="BO82" s="36" t="str">
        <f t="shared" si="16"/>
        <v/>
      </c>
    </row>
    <row r="83" ht="15.75" customHeight="1">
      <c r="A83" s="31"/>
      <c r="B83" s="32"/>
      <c r="C83" s="32"/>
      <c r="D83" s="32"/>
      <c r="E83" s="31"/>
      <c r="F83" s="31"/>
      <c r="G83" s="31"/>
      <c r="H83" s="33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4" t="str">
        <f t="shared" si="1"/>
        <v/>
      </c>
      <c r="BA83" s="34" t="str">
        <f t="shared" si="2"/>
        <v/>
      </c>
      <c r="BB83" s="34" t="str">
        <f t="shared" si="3"/>
        <v/>
      </c>
      <c r="BC83" s="35" t="str">
        <f t="shared" si="4"/>
        <v/>
      </c>
      <c r="BD83" s="35" t="str">
        <f t="shared" si="5"/>
        <v/>
      </c>
      <c r="BE83" s="35" t="str">
        <f t="shared" si="6"/>
        <v/>
      </c>
      <c r="BF83" s="35" t="str">
        <f t="shared" si="7"/>
        <v/>
      </c>
      <c r="BG83" s="35" t="str">
        <f t="shared" si="8"/>
        <v/>
      </c>
      <c r="BH83" s="35" t="str">
        <f t="shared" si="9"/>
        <v/>
      </c>
      <c r="BI83" s="35" t="str">
        <f t="shared" si="10"/>
        <v/>
      </c>
      <c r="BJ83" s="35" t="str">
        <f t="shared" si="11"/>
        <v/>
      </c>
      <c r="BK83" s="35" t="str">
        <f t="shared" si="12"/>
        <v/>
      </c>
      <c r="BL83" s="34" t="str">
        <f t="shared" si="13"/>
        <v/>
      </c>
      <c r="BM83" s="36" t="str">
        <f t="shared" si="14"/>
        <v/>
      </c>
      <c r="BN83" s="36" t="str">
        <f t="shared" si="15"/>
        <v/>
      </c>
      <c r="BO83" s="36" t="str">
        <f t="shared" si="16"/>
        <v/>
      </c>
    </row>
    <row r="84" ht="15.75" customHeight="1">
      <c r="A84" s="31"/>
      <c r="B84" s="32"/>
      <c r="C84" s="32"/>
      <c r="D84" s="32"/>
      <c r="E84" s="31"/>
      <c r="F84" s="31"/>
      <c r="G84" s="31"/>
      <c r="H84" s="33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4" t="str">
        <f t="shared" si="1"/>
        <v/>
      </c>
      <c r="BA84" s="34" t="str">
        <f t="shared" si="2"/>
        <v/>
      </c>
      <c r="BB84" s="34" t="str">
        <f t="shared" si="3"/>
        <v/>
      </c>
      <c r="BC84" s="35" t="str">
        <f t="shared" si="4"/>
        <v/>
      </c>
      <c r="BD84" s="35" t="str">
        <f t="shared" si="5"/>
        <v/>
      </c>
      <c r="BE84" s="35" t="str">
        <f t="shared" si="6"/>
        <v/>
      </c>
      <c r="BF84" s="35" t="str">
        <f t="shared" si="7"/>
        <v/>
      </c>
      <c r="BG84" s="35" t="str">
        <f t="shared" si="8"/>
        <v/>
      </c>
      <c r="BH84" s="35" t="str">
        <f t="shared" si="9"/>
        <v/>
      </c>
      <c r="BI84" s="35" t="str">
        <f t="shared" si="10"/>
        <v/>
      </c>
      <c r="BJ84" s="35" t="str">
        <f t="shared" si="11"/>
        <v/>
      </c>
      <c r="BK84" s="35" t="str">
        <f t="shared" si="12"/>
        <v/>
      </c>
      <c r="BL84" s="34" t="str">
        <f t="shared" si="13"/>
        <v/>
      </c>
      <c r="BM84" s="36" t="str">
        <f t="shared" si="14"/>
        <v/>
      </c>
      <c r="BN84" s="36" t="str">
        <f t="shared" si="15"/>
        <v/>
      </c>
      <c r="BO84" s="36" t="str">
        <f t="shared" si="16"/>
        <v/>
      </c>
    </row>
    <row r="85" ht="15.75" customHeight="1">
      <c r="A85" s="31"/>
      <c r="B85" s="32"/>
      <c r="C85" s="32"/>
      <c r="D85" s="32"/>
      <c r="E85" s="31"/>
      <c r="F85" s="31"/>
      <c r="G85" s="31"/>
      <c r="H85" s="33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4" t="str">
        <f t="shared" si="1"/>
        <v/>
      </c>
      <c r="BA85" s="34" t="str">
        <f t="shared" si="2"/>
        <v/>
      </c>
      <c r="BB85" s="34" t="str">
        <f t="shared" si="3"/>
        <v/>
      </c>
      <c r="BC85" s="35" t="str">
        <f t="shared" si="4"/>
        <v/>
      </c>
      <c r="BD85" s="35" t="str">
        <f t="shared" si="5"/>
        <v/>
      </c>
      <c r="BE85" s="35" t="str">
        <f t="shared" si="6"/>
        <v/>
      </c>
      <c r="BF85" s="35" t="str">
        <f t="shared" si="7"/>
        <v/>
      </c>
      <c r="BG85" s="35" t="str">
        <f t="shared" si="8"/>
        <v/>
      </c>
      <c r="BH85" s="35" t="str">
        <f t="shared" si="9"/>
        <v/>
      </c>
      <c r="BI85" s="35" t="str">
        <f t="shared" si="10"/>
        <v/>
      </c>
      <c r="BJ85" s="35" t="str">
        <f t="shared" si="11"/>
        <v/>
      </c>
      <c r="BK85" s="35" t="str">
        <f t="shared" si="12"/>
        <v/>
      </c>
      <c r="BL85" s="34" t="str">
        <f t="shared" si="13"/>
        <v/>
      </c>
      <c r="BM85" s="36" t="str">
        <f t="shared" si="14"/>
        <v/>
      </c>
      <c r="BN85" s="36" t="str">
        <f t="shared" si="15"/>
        <v/>
      </c>
      <c r="BO85" s="36" t="str">
        <f t="shared" si="16"/>
        <v/>
      </c>
    </row>
    <row r="86" ht="15.75" customHeight="1">
      <c r="A86" s="31"/>
      <c r="B86" s="32"/>
      <c r="C86" s="32"/>
      <c r="D86" s="32"/>
      <c r="E86" s="31"/>
      <c r="F86" s="31"/>
      <c r="G86" s="31"/>
      <c r="H86" s="33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4" t="str">
        <f t="shared" si="1"/>
        <v/>
      </c>
      <c r="BA86" s="34" t="str">
        <f t="shared" si="2"/>
        <v/>
      </c>
      <c r="BB86" s="34" t="str">
        <f t="shared" si="3"/>
        <v/>
      </c>
      <c r="BC86" s="35" t="str">
        <f t="shared" si="4"/>
        <v/>
      </c>
      <c r="BD86" s="35" t="str">
        <f t="shared" si="5"/>
        <v/>
      </c>
      <c r="BE86" s="35" t="str">
        <f t="shared" si="6"/>
        <v/>
      </c>
      <c r="BF86" s="35" t="str">
        <f t="shared" si="7"/>
        <v/>
      </c>
      <c r="BG86" s="35" t="str">
        <f t="shared" si="8"/>
        <v/>
      </c>
      <c r="BH86" s="35" t="str">
        <f t="shared" si="9"/>
        <v/>
      </c>
      <c r="BI86" s="35" t="str">
        <f t="shared" si="10"/>
        <v/>
      </c>
      <c r="BJ86" s="35" t="str">
        <f t="shared" si="11"/>
        <v/>
      </c>
      <c r="BK86" s="35" t="str">
        <f t="shared" si="12"/>
        <v/>
      </c>
      <c r="BL86" s="34" t="str">
        <f t="shared" si="13"/>
        <v/>
      </c>
      <c r="BM86" s="36" t="str">
        <f t="shared" si="14"/>
        <v/>
      </c>
      <c r="BN86" s="36" t="str">
        <f t="shared" si="15"/>
        <v/>
      </c>
      <c r="BO86" s="36" t="str">
        <f t="shared" si="16"/>
        <v/>
      </c>
    </row>
    <row r="87" ht="15.75" customHeight="1">
      <c r="A87" s="31"/>
      <c r="B87" s="32"/>
      <c r="C87" s="32"/>
      <c r="D87" s="32"/>
      <c r="E87" s="31"/>
      <c r="F87" s="31"/>
      <c r="G87" s="31"/>
      <c r="H87" s="33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4" t="str">
        <f t="shared" si="1"/>
        <v/>
      </c>
      <c r="BA87" s="34" t="str">
        <f t="shared" si="2"/>
        <v/>
      </c>
      <c r="BB87" s="34" t="str">
        <f t="shared" si="3"/>
        <v/>
      </c>
      <c r="BC87" s="35" t="str">
        <f t="shared" si="4"/>
        <v/>
      </c>
      <c r="BD87" s="35" t="str">
        <f t="shared" si="5"/>
        <v/>
      </c>
      <c r="BE87" s="35" t="str">
        <f t="shared" si="6"/>
        <v/>
      </c>
      <c r="BF87" s="35" t="str">
        <f t="shared" si="7"/>
        <v/>
      </c>
      <c r="BG87" s="35" t="str">
        <f t="shared" si="8"/>
        <v/>
      </c>
      <c r="BH87" s="35" t="str">
        <f t="shared" si="9"/>
        <v/>
      </c>
      <c r="BI87" s="35" t="str">
        <f t="shared" si="10"/>
        <v/>
      </c>
      <c r="BJ87" s="35" t="str">
        <f t="shared" si="11"/>
        <v/>
      </c>
      <c r="BK87" s="35" t="str">
        <f t="shared" si="12"/>
        <v/>
      </c>
      <c r="BL87" s="34" t="str">
        <f t="shared" si="13"/>
        <v/>
      </c>
      <c r="BM87" s="36" t="str">
        <f t="shared" si="14"/>
        <v/>
      </c>
      <c r="BN87" s="36" t="str">
        <f t="shared" si="15"/>
        <v/>
      </c>
      <c r="BO87" s="36" t="str">
        <f t="shared" si="16"/>
        <v/>
      </c>
    </row>
    <row r="88" ht="15.75" customHeight="1">
      <c r="A88" s="31"/>
      <c r="B88" s="32"/>
      <c r="C88" s="32"/>
      <c r="D88" s="32"/>
      <c r="E88" s="31"/>
      <c r="F88" s="31"/>
      <c r="G88" s="31"/>
      <c r="H88" s="33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4" t="str">
        <f t="shared" si="1"/>
        <v/>
      </c>
      <c r="BA88" s="34" t="str">
        <f t="shared" si="2"/>
        <v/>
      </c>
      <c r="BB88" s="34" t="str">
        <f t="shared" si="3"/>
        <v/>
      </c>
      <c r="BC88" s="35" t="str">
        <f t="shared" si="4"/>
        <v/>
      </c>
      <c r="BD88" s="35" t="str">
        <f t="shared" si="5"/>
        <v/>
      </c>
      <c r="BE88" s="35" t="str">
        <f t="shared" si="6"/>
        <v/>
      </c>
      <c r="BF88" s="35" t="str">
        <f t="shared" si="7"/>
        <v/>
      </c>
      <c r="BG88" s="35" t="str">
        <f t="shared" si="8"/>
        <v/>
      </c>
      <c r="BH88" s="35" t="str">
        <f t="shared" si="9"/>
        <v/>
      </c>
      <c r="BI88" s="35" t="str">
        <f t="shared" si="10"/>
        <v/>
      </c>
      <c r="BJ88" s="35" t="str">
        <f t="shared" si="11"/>
        <v/>
      </c>
      <c r="BK88" s="35" t="str">
        <f t="shared" si="12"/>
        <v/>
      </c>
      <c r="BL88" s="34" t="str">
        <f t="shared" si="13"/>
        <v/>
      </c>
      <c r="BM88" s="36" t="str">
        <f t="shared" si="14"/>
        <v/>
      </c>
      <c r="BN88" s="36" t="str">
        <f t="shared" si="15"/>
        <v/>
      </c>
      <c r="BO88" s="36" t="str">
        <f t="shared" si="16"/>
        <v/>
      </c>
    </row>
    <row r="89" ht="15.75" customHeight="1">
      <c r="A89" s="31"/>
      <c r="B89" s="32"/>
      <c r="C89" s="32"/>
      <c r="D89" s="32"/>
      <c r="E89" s="31"/>
      <c r="F89" s="31"/>
      <c r="G89" s="31"/>
      <c r="H89" s="33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4" t="str">
        <f t="shared" si="1"/>
        <v/>
      </c>
      <c r="BA89" s="34" t="str">
        <f t="shared" si="2"/>
        <v/>
      </c>
      <c r="BB89" s="34" t="str">
        <f t="shared" si="3"/>
        <v/>
      </c>
      <c r="BC89" s="35" t="str">
        <f t="shared" si="4"/>
        <v/>
      </c>
      <c r="BD89" s="35" t="str">
        <f t="shared" si="5"/>
        <v/>
      </c>
      <c r="BE89" s="35" t="str">
        <f t="shared" si="6"/>
        <v/>
      </c>
      <c r="BF89" s="35" t="str">
        <f t="shared" si="7"/>
        <v/>
      </c>
      <c r="BG89" s="35" t="str">
        <f t="shared" si="8"/>
        <v/>
      </c>
      <c r="BH89" s="35" t="str">
        <f t="shared" si="9"/>
        <v/>
      </c>
      <c r="BI89" s="35" t="str">
        <f t="shared" si="10"/>
        <v/>
      </c>
      <c r="BJ89" s="35" t="str">
        <f t="shared" si="11"/>
        <v/>
      </c>
      <c r="BK89" s="35" t="str">
        <f t="shared" si="12"/>
        <v/>
      </c>
      <c r="BL89" s="34" t="str">
        <f t="shared" si="13"/>
        <v/>
      </c>
      <c r="BM89" s="36" t="str">
        <f t="shared" si="14"/>
        <v/>
      </c>
      <c r="BN89" s="36" t="str">
        <f t="shared" si="15"/>
        <v/>
      </c>
      <c r="BO89" s="36" t="str">
        <f t="shared" si="16"/>
        <v/>
      </c>
    </row>
    <row r="90" ht="15.75" customHeight="1">
      <c r="A90" s="31"/>
      <c r="B90" s="32"/>
      <c r="C90" s="32"/>
      <c r="D90" s="32"/>
      <c r="E90" s="31"/>
      <c r="F90" s="31"/>
      <c r="G90" s="31"/>
      <c r="H90" s="33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4" t="str">
        <f t="shared" si="1"/>
        <v/>
      </c>
      <c r="BA90" s="34" t="str">
        <f t="shared" si="2"/>
        <v/>
      </c>
      <c r="BB90" s="34" t="str">
        <f t="shared" si="3"/>
        <v/>
      </c>
      <c r="BC90" s="35" t="str">
        <f t="shared" si="4"/>
        <v/>
      </c>
      <c r="BD90" s="35" t="str">
        <f t="shared" si="5"/>
        <v/>
      </c>
      <c r="BE90" s="35" t="str">
        <f t="shared" si="6"/>
        <v/>
      </c>
      <c r="BF90" s="35" t="str">
        <f t="shared" si="7"/>
        <v/>
      </c>
      <c r="BG90" s="35" t="str">
        <f t="shared" si="8"/>
        <v/>
      </c>
      <c r="BH90" s="35" t="str">
        <f t="shared" si="9"/>
        <v/>
      </c>
      <c r="BI90" s="35" t="str">
        <f t="shared" si="10"/>
        <v/>
      </c>
      <c r="BJ90" s="35" t="str">
        <f t="shared" si="11"/>
        <v/>
      </c>
      <c r="BK90" s="35" t="str">
        <f t="shared" si="12"/>
        <v/>
      </c>
      <c r="BL90" s="34" t="str">
        <f t="shared" si="13"/>
        <v/>
      </c>
      <c r="BM90" s="36" t="str">
        <f t="shared" si="14"/>
        <v/>
      </c>
      <c r="BN90" s="36" t="str">
        <f t="shared" si="15"/>
        <v/>
      </c>
      <c r="BO90" s="36" t="str">
        <f t="shared" si="16"/>
        <v/>
      </c>
    </row>
    <row r="91" ht="15.75" customHeight="1">
      <c r="A91" s="31"/>
      <c r="B91" s="32"/>
      <c r="C91" s="32"/>
      <c r="D91" s="32"/>
      <c r="E91" s="31"/>
      <c r="F91" s="31"/>
      <c r="G91" s="31"/>
      <c r="H91" s="33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4" t="str">
        <f t="shared" si="1"/>
        <v/>
      </c>
      <c r="BA91" s="34" t="str">
        <f t="shared" si="2"/>
        <v/>
      </c>
      <c r="BB91" s="34" t="str">
        <f t="shared" si="3"/>
        <v/>
      </c>
      <c r="BC91" s="35" t="str">
        <f t="shared" si="4"/>
        <v/>
      </c>
      <c r="BD91" s="35" t="str">
        <f t="shared" si="5"/>
        <v/>
      </c>
      <c r="BE91" s="35" t="str">
        <f t="shared" si="6"/>
        <v/>
      </c>
      <c r="BF91" s="35" t="str">
        <f t="shared" si="7"/>
        <v/>
      </c>
      <c r="BG91" s="35" t="str">
        <f t="shared" si="8"/>
        <v/>
      </c>
      <c r="BH91" s="35" t="str">
        <f t="shared" si="9"/>
        <v/>
      </c>
      <c r="BI91" s="35" t="str">
        <f t="shared" si="10"/>
        <v/>
      </c>
      <c r="BJ91" s="35" t="str">
        <f t="shared" si="11"/>
        <v/>
      </c>
      <c r="BK91" s="35" t="str">
        <f t="shared" si="12"/>
        <v/>
      </c>
      <c r="BL91" s="34" t="str">
        <f t="shared" si="13"/>
        <v/>
      </c>
      <c r="BM91" s="36" t="str">
        <f t="shared" si="14"/>
        <v/>
      </c>
      <c r="BN91" s="36" t="str">
        <f t="shared" si="15"/>
        <v/>
      </c>
      <c r="BO91" s="36" t="str">
        <f t="shared" si="16"/>
        <v/>
      </c>
    </row>
    <row r="92" ht="15.75" customHeight="1">
      <c r="A92" s="31"/>
      <c r="B92" s="32"/>
      <c r="C92" s="32"/>
      <c r="D92" s="32"/>
      <c r="E92" s="31"/>
      <c r="F92" s="31"/>
      <c r="G92" s="31"/>
      <c r="H92" s="33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4" t="str">
        <f t="shared" si="1"/>
        <v/>
      </c>
      <c r="BA92" s="34" t="str">
        <f t="shared" si="2"/>
        <v/>
      </c>
      <c r="BB92" s="34" t="str">
        <f t="shared" si="3"/>
        <v/>
      </c>
      <c r="BC92" s="35" t="str">
        <f t="shared" si="4"/>
        <v/>
      </c>
      <c r="BD92" s="35" t="str">
        <f t="shared" si="5"/>
        <v/>
      </c>
      <c r="BE92" s="35" t="str">
        <f t="shared" si="6"/>
        <v/>
      </c>
      <c r="BF92" s="35" t="str">
        <f t="shared" si="7"/>
        <v/>
      </c>
      <c r="BG92" s="35" t="str">
        <f t="shared" si="8"/>
        <v/>
      </c>
      <c r="BH92" s="35" t="str">
        <f t="shared" si="9"/>
        <v/>
      </c>
      <c r="BI92" s="35" t="str">
        <f t="shared" si="10"/>
        <v/>
      </c>
      <c r="BJ92" s="35" t="str">
        <f t="shared" si="11"/>
        <v/>
      </c>
      <c r="BK92" s="35" t="str">
        <f t="shared" si="12"/>
        <v/>
      </c>
      <c r="BL92" s="34" t="str">
        <f t="shared" si="13"/>
        <v/>
      </c>
      <c r="BM92" s="36" t="str">
        <f t="shared" si="14"/>
        <v/>
      </c>
      <c r="BN92" s="36" t="str">
        <f t="shared" si="15"/>
        <v/>
      </c>
      <c r="BO92" s="36" t="str">
        <f t="shared" si="16"/>
        <v/>
      </c>
    </row>
    <row r="93" ht="15.75" customHeight="1">
      <c r="A93" s="31"/>
      <c r="B93" s="32"/>
      <c r="C93" s="32"/>
      <c r="D93" s="32"/>
      <c r="E93" s="31"/>
      <c r="F93" s="31"/>
      <c r="G93" s="31"/>
      <c r="H93" s="33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4" t="str">
        <f t="shared" si="1"/>
        <v/>
      </c>
      <c r="BA93" s="34" t="str">
        <f t="shared" si="2"/>
        <v/>
      </c>
      <c r="BB93" s="34" t="str">
        <f t="shared" si="3"/>
        <v/>
      </c>
      <c r="BC93" s="35" t="str">
        <f t="shared" si="4"/>
        <v/>
      </c>
      <c r="BD93" s="35" t="str">
        <f t="shared" si="5"/>
        <v/>
      </c>
      <c r="BE93" s="35" t="str">
        <f t="shared" si="6"/>
        <v/>
      </c>
      <c r="BF93" s="35" t="str">
        <f t="shared" si="7"/>
        <v/>
      </c>
      <c r="BG93" s="35" t="str">
        <f t="shared" si="8"/>
        <v/>
      </c>
      <c r="BH93" s="35" t="str">
        <f t="shared" si="9"/>
        <v/>
      </c>
      <c r="BI93" s="35" t="str">
        <f t="shared" si="10"/>
        <v/>
      </c>
      <c r="BJ93" s="35" t="str">
        <f t="shared" si="11"/>
        <v/>
      </c>
      <c r="BK93" s="35" t="str">
        <f t="shared" si="12"/>
        <v/>
      </c>
      <c r="BL93" s="34" t="str">
        <f t="shared" si="13"/>
        <v/>
      </c>
      <c r="BM93" s="36" t="str">
        <f t="shared" si="14"/>
        <v/>
      </c>
      <c r="BN93" s="36" t="str">
        <f t="shared" si="15"/>
        <v/>
      </c>
      <c r="BO93" s="36" t="str">
        <f t="shared" si="16"/>
        <v/>
      </c>
    </row>
    <row r="94" ht="15.75" customHeight="1">
      <c r="A94" s="31"/>
      <c r="B94" s="32"/>
      <c r="C94" s="32"/>
      <c r="D94" s="32"/>
      <c r="E94" s="31"/>
      <c r="F94" s="31"/>
      <c r="G94" s="31"/>
      <c r="H94" s="33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4" t="str">
        <f t="shared" si="1"/>
        <v/>
      </c>
      <c r="BA94" s="34" t="str">
        <f t="shared" si="2"/>
        <v/>
      </c>
      <c r="BB94" s="34" t="str">
        <f t="shared" si="3"/>
        <v/>
      </c>
      <c r="BC94" s="35" t="str">
        <f t="shared" si="4"/>
        <v/>
      </c>
      <c r="BD94" s="35" t="str">
        <f t="shared" si="5"/>
        <v/>
      </c>
      <c r="BE94" s="35" t="str">
        <f t="shared" si="6"/>
        <v/>
      </c>
      <c r="BF94" s="35" t="str">
        <f t="shared" si="7"/>
        <v/>
      </c>
      <c r="BG94" s="35" t="str">
        <f t="shared" si="8"/>
        <v/>
      </c>
      <c r="BH94" s="35" t="str">
        <f t="shared" si="9"/>
        <v/>
      </c>
      <c r="BI94" s="35" t="str">
        <f t="shared" si="10"/>
        <v/>
      </c>
      <c r="BJ94" s="35" t="str">
        <f t="shared" si="11"/>
        <v/>
      </c>
      <c r="BK94" s="35" t="str">
        <f t="shared" si="12"/>
        <v/>
      </c>
      <c r="BL94" s="34" t="str">
        <f t="shared" si="13"/>
        <v/>
      </c>
      <c r="BM94" s="36" t="str">
        <f t="shared" si="14"/>
        <v/>
      </c>
      <c r="BN94" s="36" t="str">
        <f t="shared" si="15"/>
        <v/>
      </c>
      <c r="BO94" s="36" t="str">
        <f t="shared" si="16"/>
        <v/>
      </c>
    </row>
    <row r="95" ht="15.75" customHeight="1">
      <c r="A95" s="31"/>
      <c r="B95" s="32"/>
      <c r="C95" s="32"/>
      <c r="D95" s="32"/>
      <c r="E95" s="31"/>
      <c r="F95" s="31"/>
      <c r="G95" s="31"/>
      <c r="H95" s="33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4" t="str">
        <f t="shared" si="1"/>
        <v/>
      </c>
      <c r="BA95" s="34" t="str">
        <f t="shared" si="2"/>
        <v/>
      </c>
      <c r="BB95" s="34" t="str">
        <f t="shared" si="3"/>
        <v/>
      </c>
      <c r="BC95" s="35" t="str">
        <f t="shared" si="4"/>
        <v/>
      </c>
      <c r="BD95" s="35" t="str">
        <f t="shared" si="5"/>
        <v/>
      </c>
      <c r="BE95" s="35" t="str">
        <f t="shared" si="6"/>
        <v/>
      </c>
      <c r="BF95" s="35" t="str">
        <f t="shared" si="7"/>
        <v/>
      </c>
      <c r="BG95" s="35" t="str">
        <f t="shared" si="8"/>
        <v/>
      </c>
      <c r="BH95" s="35" t="str">
        <f t="shared" si="9"/>
        <v/>
      </c>
      <c r="BI95" s="35" t="str">
        <f t="shared" si="10"/>
        <v/>
      </c>
      <c r="BJ95" s="35" t="str">
        <f t="shared" si="11"/>
        <v/>
      </c>
      <c r="BK95" s="35" t="str">
        <f t="shared" si="12"/>
        <v/>
      </c>
      <c r="BL95" s="34" t="str">
        <f t="shared" si="13"/>
        <v/>
      </c>
      <c r="BM95" s="36" t="str">
        <f t="shared" si="14"/>
        <v/>
      </c>
      <c r="BN95" s="36" t="str">
        <f t="shared" si="15"/>
        <v/>
      </c>
      <c r="BO95" s="36" t="str">
        <f t="shared" si="16"/>
        <v/>
      </c>
    </row>
    <row r="96" ht="15.75" customHeight="1">
      <c r="A96" s="31"/>
      <c r="B96" s="32"/>
      <c r="C96" s="32"/>
      <c r="D96" s="32"/>
      <c r="E96" s="31"/>
      <c r="F96" s="31"/>
      <c r="G96" s="31"/>
      <c r="H96" s="33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4" t="str">
        <f t="shared" si="1"/>
        <v/>
      </c>
      <c r="BA96" s="34" t="str">
        <f t="shared" si="2"/>
        <v/>
      </c>
      <c r="BB96" s="34" t="str">
        <f t="shared" si="3"/>
        <v/>
      </c>
      <c r="BC96" s="35" t="str">
        <f t="shared" si="4"/>
        <v/>
      </c>
      <c r="BD96" s="35" t="str">
        <f t="shared" si="5"/>
        <v/>
      </c>
      <c r="BE96" s="35" t="str">
        <f t="shared" si="6"/>
        <v/>
      </c>
      <c r="BF96" s="35" t="str">
        <f t="shared" si="7"/>
        <v/>
      </c>
      <c r="BG96" s="35" t="str">
        <f t="shared" si="8"/>
        <v/>
      </c>
      <c r="BH96" s="35" t="str">
        <f t="shared" si="9"/>
        <v/>
      </c>
      <c r="BI96" s="35" t="str">
        <f t="shared" si="10"/>
        <v/>
      </c>
      <c r="BJ96" s="35" t="str">
        <f t="shared" si="11"/>
        <v/>
      </c>
      <c r="BK96" s="35" t="str">
        <f t="shared" si="12"/>
        <v/>
      </c>
      <c r="BL96" s="34" t="str">
        <f t="shared" si="13"/>
        <v/>
      </c>
      <c r="BM96" s="36" t="str">
        <f t="shared" si="14"/>
        <v/>
      </c>
      <c r="BN96" s="36" t="str">
        <f t="shared" si="15"/>
        <v/>
      </c>
      <c r="BO96" s="36" t="str">
        <f t="shared" si="16"/>
        <v/>
      </c>
    </row>
    <row r="97" ht="15.75" customHeight="1">
      <c r="A97" s="31"/>
      <c r="B97" s="32"/>
      <c r="C97" s="32"/>
      <c r="D97" s="32"/>
      <c r="E97" s="31"/>
      <c r="F97" s="31"/>
      <c r="G97" s="31"/>
      <c r="H97" s="33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4" t="str">
        <f t="shared" si="1"/>
        <v/>
      </c>
      <c r="BA97" s="34" t="str">
        <f t="shared" si="2"/>
        <v/>
      </c>
      <c r="BB97" s="34" t="str">
        <f t="shared" si="3"/>
        <v/>
      </c>
      <c r="BC97" s="35" t="str">
        <f t="shared" si="4"/>
        <v/>
      </c>
      <c r="BD97" s="35" t="str">
        <f t="shared" si="5"/>
        <v/>
      </c>
      <c r="BE97" s="35" t="str">
        <f t="shared" si="6"/>
        <v/>
      </c>
      <c r="BF97" s="35" t="str">
        <f t="shared" si="7"/>
        <v/>
      </c>
      <c r="BG97" s="35" t="str">
        <f t="shared" si="8"/>
        <v/>
      </c>
      <c r="BH97" s="35" t="str">
        <f t="shared" si="9"/>
        <v/>
      </c>
      <c r="BI97" s="35" t="str">
        <f t="shared" si="10"/>
        <v/>
      </c>
      <c r="BJ97" s="35" t="str">
        <f t="shared" si="11"/>
        <v/>
      </c>
      <c r="BK97" s="35" t="str">
        <f t="shared" si="12"/>
        <v/>
      </c>
      <c r="BL97" s="34" t="str">
        <f t="shared" si="13"/>
        <v/>
      </c>
      <c r="BM97" s="36" t="str">
        <f t="shared" si="14"/>
        <v/>
      </c>
      <c r="BN97" s="36" t="str">
        <f t="shared" si="15"/>
        <v/>
      </c>
      <c r="BO97" s="36" t="str">
        <f t="shared" si="16"/>
        <v/>
      </c>
    </row>
    <row r="98" ht="15.75" customHeight="1">
      <c r="A98" s="31"/>
      <c r="B98" s="32"/>
      <c r="C98" s="32"/>
      <c r="D98" s="32"/>
      <c r="E98" s="31"/>
      <c r="F98" s="31"/>
      <c r="G98" s="31"/>
      <c r="H98" s="33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4" t="str">
        <f t="shared" si="1"/>
        <v/>
      </c>
      <c r="BA98" s="34" t="str">
        <f t="shared" si="2"/>
        <v/>
      </c>
      <c r="BB98" s="34" t="str">
        <f t="shared" si="3"/>
        <v/>
      </c>
      <c r="BC98" s="35" t="str">
        <f t="shared" si="4"/>
        <v/>
      </c>
      <c r="BD98" s="35" t="str">
        <f t="shared" si="5"/>
        <v/>
      </c>
      <c r="BE98" s="35" t="str">
        <f t="shared" si="6"/>
        <v/>
      </c>
      <c r="BF98" s="35" t="str">
        <f t="shared" si="7"/>
        <v/>
      </c>
      <c r="BG98" s="35" t="str">
        <f t="shared" si="8"/>
        <v/>
      </c>
      <c r="BH98" s="35" t="str">
        <f t="shared" si="9"/>
        <v/>
      </c>
      <c r="BI98" s="35" t="str">
        <f t="shared" si="10"/>
        <v/>
      </c>
      <c r="BJ98" s="35" t="str">
        <f t="shared" si="11"/>
        <v/>
      </c>
      <c r="BK98" s="35" t="str">
        <f t="shared" si="12"/>
        <v/>
      </c>
      <c r="BL98" s="34" t="str">
        <f t="shared" si="13"/>
        <v/>
      </c>
      <c r="BM98" s="36" t="str">
        <f t="shared" si="14"/>
        <v/>
      </c>
      <c r="BN98" s="36" t="str">
        <f t="shared" si="15"/>
        <v/>
      </c>
      <c r="BO98" s="36" t="str">
        <f t="shared" si="16"/>
        <v/>
      </c>
    </row>
    <row r="99" ht="15.75" customHeight="1">
      <c r="A99" s="31"/>
      <c r="B99" s="32"/>
      <c r="C99" s="32"/>
      <c r="D99" s="32"/>
      <c r="E99" s="31"/>
      <c r="F99" s="31"/>
      <c r="G99" s="31"/>
      <c r="H99" s="33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4" t="str">
        <f t="shared" si="1"/>
        <v/>
      </c>
      <c r="BA99" s="34" t="str">
        <f t="shared" si="2"/>
        <v/>
      </c>
      <c r="BB99" s="34" t="str">
        <f t="shared" si="3"/>
        <v/>
      </c>
      <c r="BC99" s="35" t="str">
        <f t="shared" si="4"/>
        <v/>
      </c>
      <c r="BD99" s="35" t="str">
        <f t="shared" si="5"/>
        <v/>
      </c>
      <c r="BE99" s="35" t="str">
        <f t="shared" si="6"/>
        <v/>
      </c>
      <c r="BF99" s="35" t="str">
        <f t="shared" si="7"/>
        <v/>
      </c>
      <c r="BG99" s="35" t="str">
        <f t="shared" si="8"/>
        <v/>
      </c>
      <c r="BH99" s="35" t="str">
        <f t="shared" si="9"/>
        <v/>
      </c>
      <c r="BI99" s="35" t="str">
        <f t="shared" si="10"/>
        <v/>
      </c>
      <c r="BJ99" s="35" t="str">
        <f t="shared" si="11"/>
        <v/>
      </c>
      <c r="BK99" s="35" t="str">
        <f t="shared" si="12"/>
        <v/>
      </c>
      <c r="BL99" s="34" t="str">
        <f t="shared" si="13"/>
        <v/>
      </c>
      <c r="BM99" s="36" t="str">
        <f t="shared" si="14"/>
        <v/>
      </c>
      <c r="BN99" s="36" t="str">
        <f t="shared" si="15"/>
        <v/>
      </c>
      <c r="BO99" s="36" t="str">
        <f t="shared" si="16"/>
        <v/>
      </c>
    </row>
    <row r="100" ht="15.75" customHeight="1">
      <c r="A100" s="31"/>
      <c r="B100" s="32"/>
      <c r="C100" s="32"/>
      <c r="D100" s="32"/>
      <c r="E100" s="31"/>
      <c r="F100" s="31"/>
      <c r="G100" s="31"/>
      <c r="H100" s="33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4" t="str">
        <f t="shared" si="1"/>
        <v/>
      </c>
      <c r="BA100" s="34" t="str">
        <f t="shared" si="2"/>
        <v/>
      </c>
      <c r="BB100" s="34" t="str">
        <f t="shared" si="3"/>
        <v/>
      </c>
      <c r="BC100" s="35" t="str">
        <f t="shared" si="4"/>
        <v/>
      </c>
      <c r="BD100" s="35" t="str">
        <f t="shared" si="5"/>
        <v/>
      </c>
      <c r="BE100" s="35" t="str">
        <f t="shared" si="6"/>
        <v/>
      </c>
      <c r="BF100" s="35" t="str">
        <f t="shared" si="7"/>
        <v/>
      </c>
      <c r="BG100" s="35" t="str">
        <f t="shared" si="8"/>
        <v/>
      </c>
      <c r="BH100" s="35" t="str">
        <f t="shared" si="9"/>
        <v/>
      </c>
      <c r="BI100" s="35" t="str">
        <f t="shared" si="10"/>
        <v/>
      </c>
      <c r="BJ100" s="35" t="str">
        <f t="shared" si="11"/>
        <v/>
      </c>
      <c r="BK100" s="35" t="str">
        <f t="shared" si="12"/>
        <v/>
      </c>
      <c r="BL100" s="34" t="str">
        <f t="shared" si="13"/>
        <v/>
      </c>
      <c r="BM100" s="36" t="str">
        <f t="shared" si="14"/>
        <v/>
      </c>
      <c r="BN100" s="36" t="str">
        <f t="shared" si="15"/>
        <v/>
      </c>
      <c r="BO100" s="36" t="str">
        <f t="shared" si="16"/>
        <v/>
      </c>
    </row>
    <row r="101" ht="15.75" customHeight="1">
      <c r="A101" s="31"/>
      <c r="B101" s="32"/>
      <c r="C101" s="32"/>
      <c r="D101" s="32"/>
      <c r="E101" s="31"/>
      <c r="F101" s="31"/>
      <c r="G101" s="31"/>
      <c r="H101" s="33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4" t="str">
        <f t="shared" si="1"/>
        <v/>
      </c>
      <c r="BA101" s="34" t="str">
        <f t="shared" si="2"/>
        <v/>
      </c>
      <c r="BB101" s="34" t="str">
        <f t="shared" si="3"/>
        <v/>
      </c>
      <c r="BC101" s="35" t="str">
        <f t="shared" si="4"/>
        <v/>
      </c>
      <c r="BD101" s="35" t="str">
        <f t="shared" si="5"/>
        <v/>
      </c>
      <c r="BE101" s="35" t="str">
        <f t="shared" si="6"/>
        <v/>
      </c>
      <c r="BF101" s="35" t="str">
        <f t="shared" si="7"/>
        <v/>
      </c>
      <c r="BG101" s="35" t="str">
        <f t="shared" si="8"/>
        <v/>
      </c>
      <c r="BH101" s="35" t="str">
        <f t="shared" si="9"/>
        <v/>
      </c>
      <c r="BI101" s="35" t="str">
        <f t="shared" si="10"/>
        <v/>
      </c>
      <c r="BJ101" s="35" t="str">
        <f t="shared" si="11"/>
        <v/>
      </c>
      <c r="BK101" s="35" t="str">
        <f t="shared" si="12"/>
        <v/>
      </c>
      <c r="BL101" s="34" t="str">
        <f t="shared" si="13"/>
        <v/>
      </c>
      <c r="BM101" s="36" t="str">
        <f t="shared" si="14"/>
        <v/>
      </c>
      <c r="BN101" s="36" t="str">
        <f t="shared" si="15"/>
        <v/>
      </c>
      <c r="BO101" s="36" t="str">
        <f t="shared" si="16"/>
        <v/>
      </c>
    </row>
    <row r="102" ht="15.75" customHeight="1">
      <c r="A102" s="31"/>
      <c r="B102" s="32"/>
      <c r="C102" s="32"/>
      <c r="D102" s="32"/>
      <c r="E102" s="31"/>
      <c r="F102" s="31"/>
      <c r="G102" s="31"/>
      <c r="H102" s="33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4" t="str">
        <f t="shared" si="1"/>
        <v/>
      </c>
      <c r="BA102" s="34" t="str">
        <f t="shared" si="2"/>
        <v/>
      </c>
      <c r="BB102" s="34" t="str">
        <f t="shared" si="3"/>
        <v/>
      </c>
      <c r="BC102" s="35" t="str">
        <f t="shared" si="4"/>
        <v/>
      </c>
      <c r="BD102" s="35" t="str">
        <f t="shared" si="5"/>
        <v/>
      </c>
      <c r="BE102" s="35" t="str">
        <f t="shared" si="6"/>
        <v/>
      </c>
      <c r="BF102" s="35" t="str">
        <f t="shared" si="7"/>
        <v/>
      </c>
      <c r="BG102" s="35" t="str">
        <f t="shared" si="8"/>
        <v/>
      </c>
      <c r="BH102" s="35" t="str">
        <f t="shared" si="9"/>
        <v/>
      </c>
      <c r="BI102" s="35" t="str">
        <f t="shared" si="10"/>
        <v/>
      </c>
      <c r="BJ102" s="35" t="str">
        <f t="shared" si="11"/>
        <v/>
      </c>
      <c r="BK102" s="35" t="str">
        <f t="shared" si="12"/>
        <v/>
      </c>
      <c r="BL102" s="34" t="str">
        <f t="shared" si="13"/>
        <v/>
      </c>
      <c r="BM102" s="36" t="str">
        <f t="shared" si="14"/>
        <v/>
      </c>
      <c r="BN102" s="36" t="str">
        <f t="shared" si="15"/>
        <v/>
      </c>
      <c r="BO102" s="36" t="str">
        <f t="shared" si="16"/>
        <v/>
      </c>
    </row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AW1:AY1"/>
    <mergeCell ref="AZ1:BO1"/>
    <mergeCell ref="A1:H1"/>
    <mergeCell ref="I1:O1"/>
    <mergeCell ref="P1:AD1"/>
    <mergeCell ref="AE1:AI1"/>
    <mergeCell ref="AJ1:AN1"/>
    <mergeCell ref="AO1:AR1"/>
    <mergeCell ref="AS1:AV1"/>
  </mergeCells>
  <conditionalFormatting sqref="I3:AY102">
    <cfRule type="cellIs" dxfId="0" priority="1" operator="equal">
      <formula>0</formula>
    </cfRule>
  </conditionalFormatting>
  <conditionalFormatting sqref="I3:AY102">
    <cfRule type="cellIs" dxfId="1" priority="2" operator="equal">
      <formula>1</formula>
    </cfRule>
  </conditionalFormatting>
  <conditionalFormatting sqref="I3:AY102">
    <cfRule type="cellIs" dxfId="2" priority="3" operator="equal">
      <formula>2</formula>
    </cfRule>
  </conditionalFormatting>
  <conditionalFormatting sqref="BB3:BB102">
    <cfRule type="cellIs" dxfId="3" priority="4" operator="greaterThan">
      <formula>0</formula>
    </cfRule>
  </conditionalFormatting>
  <conditionalFormatting sqref="BB3:BB102">
    <cfRule type="cellIs" dxfId="2" priority="5" operator="equal">
      <formula>0</formula>
    </cfRule>
  </conditionalFormatting>
  <conditionalFormatting sqref="BM3:BM102">
    <cfRule type="expression" dxfId="2" priority="6">
      <formula>EXACT(BM3,"OK")</formula>
    </cfRule>
  </conditionalFormatting>
  <conditionalFormatting sqref="BM3:BM102">
    <cfRule type="expression" dxfId="4" priority="7">
      <formula>EXACT(BM3,"N/A")</formula>
    </cfRule>
  </conditionalFormatting>
  <conditionalFormatting sqref="BM3:BM102">
    <cfRule type="expression" dxfId="1" priority="8">
      <formula>ISNUMBER(SEARCH("Incomplete",BM3))</formula>
    </cfRule>
  </conditionalFormatting>
  <conditionalFormatting sqref="BM3:BM102">
    <cfRule type="expression" dxfId="3" priority="9">
      <formula>OR(ISNUMBER(SEARCH("Check",BM3)),ISNUMBER(SEARCH("Review",BM3)),ISNUMBER(SEARCH("Finish",BM3)),ISNUMBER(SEARCH("Score only",BM3)),ISNUMBER(SEARCH("Responsible",BM3)))</formula>
    </cfRule>
  </conditionalFormatting>
  <conditionalFormatting sqref="BN3:BN102">
    <cfRule type="expression" dxfId="2" priority="10">
      <formula>EXACT(BN3,"OK")</formula>
    </cfRule>
  </conditionalFormatting>
  <conditionalFormatting sqref="BN3:BN102">
    <cfRule type="expression" dxfId="4" priority="11">
      <formula>EXACT(BN3,"N/A")</formula>
    </cfRule>
  </conditionalFormatting>
  <conditionalFormatting sqref="BN3:BN102">
    <cfRule type="expression" dxfId="1" priority="12">
      <formula>ISNUMBER(SEARCH("Incomplete",BN3))</formula>
    </cfRule>
  </conditionalFormatting>
  <conditionalFormatting sqref="BN3:BN102">
    <cfRule type="expression" dxfId="3" priority="13">
      <formula>OR(ISNUMBER(SEARCH("Check",BN3)),ISNUMBER(SEARCH("Review",BN3)),ISNUMBER(SEARCH("Finish",BN3)),ISNUMBER(SEARCH("Score only",BN3)),ISNUMBER(SEARCH("Responsible",BN3)))</formula>
    </cfRule>
  </conditionalFormatting>
  <conditionalFormatting sqref="BO3:BO102">
    <cfRule type="expression" dxfId="2" priority="14">
      <formula>EXACT(BO3,"OK")</formula>
    </cfRule>
  </conditionalFormatting>
  <conditionalFormatting sqref="BO3:BO102">
    <cfRule type="expression" dxfId="4" priority="15">
      <formula>EXACT(BO3,"N/A")</formula>
    </cfRule>
  </conditionalFormatting>
  <conditionalFormatting sqref="BO3:BO102">
    <cfRule type="expression" dxfId="1" priority="16">
      <formula>ISNUMBER(SEARCH("Incomplete",BO3))</formula>
    </cfRule>
  </conditionalFormatting>
  <conditionalFormatting sqref="BO3:BO102">
    <cfRule type="expression" dxfId="3" priority="17">
      <formula>OR(ISNUMBER(SEARCH("Check",BO3)),ISNUMBER(SEARCH("Review",BO3)),ISNUMBER(SEARCH("Finish",BO3)),ISNUMBER(SEARCH("Score only",BO3)),ISNUMBER(SEARCH("Responsible",BO3)))</formula>
    </cfRule>
  </conditionalFormatting>
  <dataValidations>
    <dataValidation type="list" allowBlank="1" sqref="F3:G102">
      <formula1>"Y,N"</formula1>
    </dataValidation>
    <dataValidation type="list" allowBlank="1" sqref="I3:AY102">
      <formula1>"0,1,2"</formula1>
    </dataValidation>
    <dataValidation type="list" allowBlank="1" sqref="E3:E102">
      <formula1>"A,B"</formula1>
    </dataValidation>
  </dataValidations>
  <printOptions/>
  <pageMargins bottom="0.75" footer="0.0" header="0.0" left="0.7" right="0.7" top="0.75"/>
  <pageSetup orientation="landscape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0.0"/>
    <col customWidth="1" min="2" max="2" width="34.86"/>
    <col customWidth="1" min="3" max="3" width="18.0"/>
    <col customWidth="1" min="4" max="4" width="28.0"/>
    <col customWidth="1" min="5" max="8" width="38.0"/>
    <col customWidth="1" min="9" max="26" width="8.71"/>
  </cols>
  <sheetData>
    <row r="1">
      <c r="A1" s="1" t="s">
        <v>102</v>
      </c>
      <c r="B1" s="2"/>
      <c r="C1" s="2"/>
      <c r="D1" s="2"/>
      <c r="E1" s="2"/>
      <c r="F1" s="2"/>
      <c r="G1" s="3"/>
    </row>
    <row r="2" ht="42.0" customHeight="1">
      <c r="A2" s="37" t="s">
        <v>103</v>
      </c>
      <c r="B2" s="2"/>
      <c r="C2" s="2"/>
      <c r="D2" s="2"/>
      <c r="E2" s="2"/>
      <c r="F2" s="2"/>
      <c r="G2" s="3"/>
    </row>
    <row r="3">
      <c r="A3" s="22" t="s">
        <v>104</v>
      </c>
      <c r="B3" s="22" t="s">
        <v>105</v>
      </c>
      <c r="C3" s="22" t="s">
        <v>106</v>
      </c>
      <c r="D3" s="22" t="s">
        <v>107</v>
      </c>
      <c r="E3" s="22" t="s">
        <v>108</v>
      </c>
      <c r="F3" s="22" t="s">
        <v>109</v>
      </c>
      <c r="G3" s="22" t="s">
        <v>110</v>
      </c>
      <c r="H3" s="22" t="s">
        <v>111</v>
      </c>
    </row>
    <row r="4" ht="43.5" customHeight="1">
      <c r="A4" s="38" t="s">
        <v>112</v>
      </c>
      <c r="B4" s="38" t="s">
        <v>27</v>
      </c>
      <c r="C4" s="38" t="s">
        <v>113</v>
      </c>
      <c r="D4" s="39" t="s">
        <v>114</v>
      </c>
      <c r="E4" s="39" t="s">
        <v>115</v>
      </c>
      <c r="F4" s="39" t="s">
        <v>116</v>
      </c>
      <c r="G4" s="39" t="s">
        <v>117</v>
      </c>
      <c r="H4" s="39" t="s">
        <v>118</v>
      </c>
    </row>
    <row r="5" ht="43.5" customHeight="1">
      <c r="A5" s="38" t="s">
        <v>119</v>
      </c>
      <c r="B5" s="38" t="s">
        <v>27</v>
      </c>
      <c r="C5" s="38" t="s">
        <v>120</v>
      </c>
      <c r="D5" s="39" t="s">
        <v>121</v>
      </c>
      <c r="E5" s="39" t="s">
        <v>122</v>
      </c>
      <c r="F5" s="39" t="s">
        <v>123</v>
      </c>
      <c r="G5" s="39" t="s">
        <v>124</v>
      </c>
      <c r="H5" s="39" t="s">
        <v>125</v>
      </c>
    </row>
    <row r="6" ht="43.5" customHeight="1">
      <c r="A6" s="38" t="s">
        <v>126</v>
      </c>
      <c r="B6" s="38" t="s">
        <v>27</v>
      </c>
      <c r="C6" s="38" t="s">
        <v>127</v>
      </c>
      <c r="D6" s="39" t="s">
        <v>128</v>
      </c>
      <c r="E6" s="39" t="s">
        <v>129</v>
      </c>
      <c r="F6" s="39" t="s">
        <v>130</v>
      </c>
      <c r="G6" s="39" t="s">
        <v>131</v>
      </c>
      <c r="H6" s="39" t="s">
        <v>132</v>
      </c>
    </row>
    <row r="7" ht="43.5" customHeight="1">
      <c r="A7" s="38" t="s">
        <v>133</v>
      </c>
      <c r="B7" s="38" t="s">
        <v>27</v>
      </c>
      <c r="C7" s="38" t="s">
        <v>120</v>
      </c>
      <c r="D7" s="39" t="s">
        <v>134</v>
      </c>
      <c r="E7" s="39" t="s">
        <v>135</v>
      </c>
      <c r="F7" s="39" t="s">
        <v>136</v>
      </c>
      <c r="G7" s="39" t="s">
        <v>137</v>
      </c>
      <c r="H7" s="39" t="s">
        <v>138</v>
      </c>
    </row>
    <row r="8" ht="43.5" customHeight="1">
      <c r="A8" s="38" t="s">
        <v>139</v>
      </c>
      <c r="B8" s="38" t="s">
        <v>27</v>
      </c>
      <c r="C8" s="38" t="s">
        <v>127</v>
      </c>
      <c r="D8" s="39" t="s">
        <v>140</v>
      </c>
      <c r="E8" s="39" t="s">
        <v>141</v>
      </c>
      <c r="F8" s="39" t="s">
        <v>142</v>
      </c>
      <c r="G8" s="39" t="s">
        <v>143</v>
      </c>
      <c r="H8" s="39" t="s">
        <v>144</v>
      </c>
    </row>
    <row r="9" ht="43.5" customHeight="1">
      <c r="A9" s="38" t="s">
        <v>145</v>
      </c>
      <c r="B9" s="38" t="s">
        <v>27</v>
      </c>
      <c r="C9" s="38" t="s">
        <v>113</v>
      </c>
      <c r="D9" s="39" t="s">
        <v>146</v>
      </c>
      <c r="E9" s="39" t="s">
        <v>147</v>
      </c>
      <c r="F9" s="39" t="s">
        <v>148</v>
      </c>
      <c r="G9" s="39" t="s">
        <v>149</v>
      </c>
      <c r="H9" s="39" t="s">
        <v>150</v>
      </c>
    </row>
    <row r="10" ht="43.5" customHeight="1">
      <c r="A10" s="38" t="s">
        <v>151</v>
      </c>
      <c r="B10" s="38" t="s">
        <v>27</v>
      </c>
      <c r="C10" s="38" t="s">
        <v>113</v>
      </c>
      <c r="D10" s="39" t="s">
        <v>152</v>
      </c>
      <c r="E10" s="39" t="s">
        <v>153</v>
      </c>
      <c r="F10" s="39" t="s">
        <v>154</v>
      </c>
      <c r="G10" s="39" t="s">
        <v>155</v>
      </c>
      <c r="H10" s="39" t="s">
        <v>156</v>
      </c>
    </row>
    <row r="11" ht="43.5" customHeight="1">
      <c r="A11" s="38" t="s">
        <v>157</v>
      </c>
      <c r="B11" s="38" t="s">
        <v>28</v>
      </c>
      <c r="C11" s="38" t="s">
        <v>113</v>
      </c>
      <c r="D11" s="39" t="s">
        <v>158</v>
      </c>
      <c r="E11" s="39" t="s">
        <v>159</v>
      </c>
      <c r="F11" s="39" t="s">
        <v>160</v>
      </c>
      <c r="G11" s="39" t="s">
        <v>161</v>
      </c>
      <c r="H11" s="39" t="s">
        <v>162</v>
      </c>
    </row>
    <row r="12" ht="43.5" customHeight="1">
      <c r="A12" s="38" t="s">
        <v>163</v>
      </c>
      <c r="B12" s="38" t="s">
        <v>28</v>
      </c>
      <c r="C12" s="38" t="s">
        <v>120</v>
      </c>
      <c r="D12" s="39" t="s">
        <v>164</v>
      </c>
      <c r="E12" s="39" t="s">
        <v>165</v>
      </c>
      <c r="F12" s="39" t="s">
        <v>166</v>
      </c>
      <c r="G12" s="39" t="s">
        <v>167</v>
      </c>
      <c r="H12" s="39" t="s">
        <v>168</v>
      </c>
    </row>
    <row r="13" ht="43.5" customHeight="1">
      <c r="A13" s="38" t="s">
        <v>169</v>
      </c>
      <c r="B13" s="38" t="s">
        <v>28</v>
      </c>
      <c r="C13" s="38" t="s">
        <v>127</v>
      </c>
      <c r="D13" s="39" t="s">
        <v>170</v>
      </c>
      <c r="E13" s="39" t="s">
        <v>171</v>
      </c>
      <c r="F13" s="39" t="s">
        <v>172</v>
      </c>
      <c r="G13" s="39" t="s">
        <v>173</v>
      </c>
      <c r="H13" s="39" t="s">
        <v>174</v>
      </c>
    </row>
    <row r="14" ht="43.5" customHeight="1">
      <c r="A14" s="38" t="s">
        <v>175</v>
      </c>
      <c r="B14" s="38" t="s">
        <v>28</v>
      </c>
      <c r="C14" s="38" t="s">
        <v>113</v>
      </c>
      <c r="D14" s="39" t="s">
        <v>176</v>
      </c>
      <c r="E14" s="39" t="s">
        <v>177</v>
      </c>
      <c r="F14" s="39" t="s">
        <v>178</v>
      </c>
      <c r="G14" s="39" t="s">
        <v>179</v>
      </c>
      <c r="H14" s="39" t="s">
        <v>180</v>
      </c>
    </row>
    <row r="15" ht="43.5" customHeight="1">
      <c r="A15" s="38" t="s">
        <v>181</v>
      </c>
      <c r="B15" s="38" t="s">
        <v>28</v>
      </c>
      <c r="C15" s="38" t="s">
        <v>113</v>
      </c>
      <c r="D15" s="39" t="s">
        <v>182</v>
      </c>
      <c r="E15" s="39" t="s">
        <v>183</v>
      </c>
      <c r="F15" s="39" t="s">
        <v>184</v>
      </c>
      <c r="G15" s="39" t="s">
        <v>185</v>
      </c>
      <c r="H15" s="39" t="s">
        <v>186</v>
      </c>
    </row>
    <row r="16" ht="43.5" customHeight="1">
      <c r="A16" s="38" t="s">
        <v>187</v>
      </c>
      <c r="B16" s="38" t="s">
        <v>28</v>
      </c>
      <c r="C16" s="38" t="s">
        <v>113</v>
      </c>
      <c r="D16" s="39" t="s">
        <v>188</v>
      </c>
      <c r="E16" s="39" t="s">
        <v>189</v>
      </c>
      <c r="F16" s="39" t="s">
        <v>190</v>
      </c>
      <c r="G16" s="39" t="s">
        <v>191</v>
      </c>
      <c r="H16" s="39" t="s">
        <v>192</v>
      </c>
    </row>
    <row r="17" ht="43.5" customHeight="1">
      <c r="A17" s="38" t="s">
        <v>193</v>
      </c>
      <c r="B17" s="38" t="s">
        <v>28</v>
      </c>
      <c r="C17" s="38" t="s">
        <v>113</v>
      </c>
      <c r="D17" s="39" t="s">
        <v>194</v>
      </c>
      <c r="E17" s="39" t="s">
        <v>195</v>
      </c>
      <c r="F17" s="39" t="s">
        <v>196</v>
      </c>
      <c r="G17" s="39" t="s">
        <v>197</v>
      </c>
      <c r="H17" s="39" t="s">
        <v>198</v>
      </c>
    </row>
    <row r="18" ht="43.5" customHeight="1">
      <c r="A18" s="38" t="s">
        <v>199</v>
      </c>
      <c r="B18" s="38" t="s">
        <v>28</v>
      </c>
      <c r="C18" s="38" t="s">
        <v>113</v>
      </c>
      <c r="D18" s="39" t="s">
        <v>200</v>
      </c>
      <c r="E18" s="39" t="s">
        <v>201</v>
      </c>
      <c r="F18" s="39" t="s">
        <v>202</v>
      </c>
      <c r="G18" s="39" t="s">
        <v>203</v>
      </c>
      <c r="H18" s="39" t="s">
        <v>204</v>
      </c>
    </row>
    <row r="19" ht="43.5" customHeight="1">
      <c r="A19" s="38" t="s">
        <v>205</v>
      </c>
      <c r="B19" s="38" t="s">
        <v>28</v>
      </c>
      <c r="C19" s="38" t="s">
        <v>127</v>
      </c>
      <c r="D19" s="39" t="s">
        <v>206</v>
      </c>
      <c r="E19" s="39" t="s">
        <v>207</v>
      </c>
      <c r="F19" s="39" t="s">
        <v>208</v>
      </c>
      <c r="G19" s="39" t="s">
        <v>209</v>
      </c>
      <c r="H19" s="39" t="s">
        <v>210</v>
      </c>
    </row>
    <row r="20" ht="43.5" customHeight="1">
      <c r="A20" s="38" t="s">
        <v>211</v>
      </c>
      <c r="B20" s="38" t="s">
        <v>28</v>
      </c>
      <c r="C20" s="38" t="s">
        <v>212</v>
      </c>
      <c r="D20" s="39" t="s">
        <v>213</v>
      </c>
      <c r="E20" s="39" t="s">
        <v>214</v>
      </c>
      <c r="F20" s="39" t="s">
        <v>215</v>
      </c>
      <c r="G20" s="39" t="s">
        <v>216</v>
      </c>
      <c r="H20" s="39" t="s">
        <v>217</v>
      </c>
    </row>
    <row r="21" ht="43.5" customHeight="1">
      <c r="A21" s="38" t="s">
        <v>218</v>
      </c>
      <c r="B21" s="38" t="s">
        <v>28</v>
      </c>
      <c r="C21" s="38" t="s">
        <v>212</v>
      </c>
      <c r="D21" s="39" t="s">
        <v>219</v>
      </c>
      <c r="E21" s="39" t="s">
        <v>220</v>
      </c>
      <c r="F21" s="39" t="s">
        <v>221</v>
      </c>
      <c r="G21" s="39" t="s">
        <v>222</v>
      </c>
      <c r="H21" s="39" t="s">
        <v>223</v>
      </c>
    </row>
    <row r="22" ht="43.5" customHeight="1">
      <c r="A22" s="38" t="s">
        <v>224</v>
      </c>
      <c r="B22" s="38" t="s">
        <v>28</v>
      </c>
      <c r="C22" s="38" t="s">
        <v>113</v>
      </c>
      <c r="D22" s="39" t="s">
        <v>225</v>
      </c>
      <c r="E22" s="39" t="s">
        <v>226</v>
      </c>
      <c r="F22" s="39" t="s">
        <v>227</v>
      </c>
      <c r="G22" s="39" t="s">
        <v>228</v>
      </c>
      <c r="H22" s="39" t="s">
        <v>229</v>
      </c>
    </row>
    <row r="23" ht="43.5" customHeight="1">
      <c r="A23" s="38" t="s">
        <v>230</v>
      </c>
      <c r="B23" s="38" t="s">
        <v>28</v>
      </c>
      <c r="C23" s="38" t="s">
        <v>113</v>
      </c>
      <c r="D23" s="39" t="s">
        <v>231</v>
      </c>
      <c r="E23" s="39" t="s">
        <v>226</v>
      </c>
      <c r="F23" s="39" t="s">
        <v>232</v>
      </c>
      <c r="G23" s="39" t="s">
        <v>233</v>
      </c>
      <c r="H23" s="39" t="s">
        <v>234</v>
      </c>
    </row>
    <row r="24" ht="43.5" customHeight="1">
      <c r="A24" s="38" t="s">
        <v>235</v>
      </c>
      <c r="B24" s="38" t="s">
        <v>28</v>
      </c>
      <c r="C24" s="38" t="s">
        <v>113</v>
      </c>
      <c r="D24" s="39" t="s">
        <v>236</v>
      </c>
      <c r="E24" s="39" t="s">
        <v>226</v>
      </c>
      <c r="F24" s="39" t="s">
        <v>237</v>
      </c>
      <c r="G24" s="39" t="s">
        <v>238</v>
      </c>
      <c r="H24" s="39" t="s">
        <v>239</v>
      </c>
    </row>
    <row r="25" ht="43.5" customHeight="1">
      <c r="A25" s="38" t="s">
        <v>240</v>
      </c>
      <c r="B25" s="38" t="s">
        <v>28</v>
      </c>
      <c r="C25" s="38" t="s">
        <v>113</v>
      </c>
      <c r="D25" s="39" t="s">
        <v>241</v>
      </c>
      <c r="E25" s="39" t="s">
        <v>226</v>
      </c>
      <c r="F25" s="39" t="s">
        <v>242</v>
      </c>
      <c r="G25" s="39" t="s">
        <v>243</v>
      </c>
      <c r="H25" s="39" t="s">
        <v>244</v>
      </c>
    </row>
    <row r="26" ht="43.5" customHeight="1">
      <c r="A26" s="38" t="s">
        <v>245</v>
      </c>
      <c r="B26" s="38" t="s">
        <v>29</v>
      </c>
      <c r="C26" s="38" t="s">
        <v>113</v>
      </c>
      <c r="D26" s="39" t="s">
        <v>246</v>
      </c>
      <c r="E26" s="39" t="s">
        <v>247</v>
      </c>
      <c r="F26" s="39" t="s">
        <v>248</v>
      </c>
      <c r="G26" s="39" t="s">
        <v>249</v>
      </c>
      <c r="H26" s="39" t="s">
        <v>250</v>
      </c>
    </row>
    <row r="27" ht="43.5" customHeight="1">
      <c r="A27" s="38" t="s">
        <v>251</v>
      </c>
      <c r="B27" s="38" t="s">
        <v>29</v>
      </c>
      <c r="C27" s="38" t="s">
        <v>113</v>
      </c>
      <c r="D27" s="39" t="s">
        <v>252</v>
      </c>
      <c r="E27" s="39" t="s">
        <v>253</v>
      </c>
      <c r="F27" s="39" t="s">
        <v>254</v>
      </c>
      <c r="G27" s="39" t="s">
        <v>255</v>
      </c>
      <c r="H27" s="39" t="s">
        <v>256</v>
      </c>
    </row>
    <row r="28" ht="43.5" customHeight="1">
      <c r="A28" s="38" t="s">
        <v>257</v>
      </c>
      <c r="B28" s="38" t="s">
        <v>29</v>
      </c>
      <c r="C28" s="38" t="s">
        <v>113</v>
      </c>
      <c r="D28" s="39" t="s">
        <v>258</v>
      </c>
      <c r="E28" s="39" t="s">
        <v>259</v>
      </c>
      <c r="F28" s="39" t="s">
        <v>260</v>
      </c>
      <c r="G28" s="39" t="s">
        <v>261</v>
      </c>
      <c r="H28" s="39" t="s">
        <v>262</v>
      </c>
    </row>
    <row r="29" ht="43.5" customHeight="1">
      <c r="A29" s="38" t="s">
        <v>263</v>
      </c>
      <c r="B29" s="38" t="s">
        <v>29</v>
      </c>
      <c r="C29" s="38" t="s">
        <v>113</v>
      </c>
      <c r="D29" s="39" t="s">
        <v>264</v>
      </c>
      <c r="E29" s="39" t="s">
        <v>265</v>
      </c>
      <c r="F29" s="39" t="s">
        <v>266</v>
      </c>
      <c r="G29" s="39" t="s">
        <v>267</v>
      </c>
      <c r="H29" s="39" t="s">
        <v>268</v>
      </c>
    </row>
    <row r="30" ht="43.5" customHeight="1">
      <c r="A30" s="38" t="s">
        <v>269</v>
      </c>
      <c r="B30" s="38" t="s">
        <v>29</v>
      </c>
      <c r="C30" s="38" t="s">
        <v>113</v>
      </c>
      <c r="D30" s="39" t="s">
        <v>270</v>
      </c>
      <c r="E30" s="39" t="s">
        <v>271</v>
      </c>
      <c r="F30" s="39" t="s">
        <v>272</v>
      </c>
      <c r="G30" s="39" t="s">
        <v>273</v>
      </c>
      <c r="H30" s="39" t="s">
        <v>274</v>
      </c>
    </row>
    <row r="31" ht="43.5" customHeight="1">
      <c r="A31" s="38" t="s">
        <v>275</v>
      </c>
      <c r="B31" s="38" t="s">
        <v>30</v>
      </c>
      <c r="C31" s="38" t="s">
        <v>113</v>
      </c>
      <c r="D31" s="39" t="s">
        <v>276</v>
      </c>
      <c r="E31" s="39" t="s">
        <v>277</v>
      </c>
      <c r="F31" s="39" t="s">
        <v>278</v>
      </c>
      <c r="G31" s="39" t="s">
        <v>279</v>
      </c>
      <c r="H31" s="39" t="s">
        <v>280</v>
      </c>
    </row>
    <row r="32" ht="43.5" customHeight="1">
      <c r="A32" s="38" t="s">
        <v>281</v>
      </c>
      <c r="B32" s="38" t="s">
        <v>30</v>
      </c>
      <c r="C32" s="38" t="s">
        <v>113</v>
      </c>
      <c r="D32" s="39" t="s">
        <v>282</v>
      </c>
      <c r="E32" s="39" t="s">
        <v>283</v>
      </c>
      <c r="F32" s="39" t="s">
        <v>284</v>
      </c>
      <c r="G32" s="39" t="s">
        <v>285</v>
      </c>
      <c r="H32" s="39" t="s">
        <v>286</v>
      </c>
    </row>
    <row r="33" ht="43.5" customHeight="1">
      <c r="A33" s="38" t="s">
        <v>287</v>
      </c>
      <c r="B33" s="38" t="s">
        <v>30</v>
      </c>
      <c r="C33" s="38" t="s">
        <v>113</v>
      </c>
      <c r="D33" s="39" t="s">
        <v>288</v>
      </c>
      <c r="E33" s="39" t="s">
        <v>289</v>
      </c>
      <c r="F33" s="39" t="s">
        <v>290</v>
      </c>
      <c r="G33" s="39" t="s">
        <v>291</v>
      </c>
      <c r="H33" s="39" t="s">
        <v>292</v>
      </c>
    </row>
    <row r="34" ht="43.5" customHeight="1">
      <c r="A34" s="38" t="s">
        <v>293</v>
      </c>
      <c r="B34" s="38" t="s">
        <v>30</v>
      </c>
      <c r="C34" s="38" t="s">
        <v>113</v>
      </c>
      <c r="D34" s="39" t="s">
        <v>294</v>
      </c>
      <c r="E34" s="39" t="s">
        <v>295</v>
      </c>
      <c r="F34" s="39" t="s">
        <v>296</v>
      </c>
      <c r="G34" s="39" t="s">
        <v>297</v>
      </c>
      <c r="H34" s="39" t="s">
        <v>298</v>
      </c>
    </row>
    <row r="35" ht="43.5" customHeight="1">
      <c r="A35" s="38" t="s">
        <v>299</v>
      </c>
      <c r="B35" s="38" t="s">
        <v>30</v>
      </c>
      <c r="C35" s="38" t="s">
        <v>113</v>
      </c>
      <c r="D35" s="39" t="s">
        <v>300</v>
      </c>
      <c r="E35" s="39" t="s">
        <v>301</v>
      </c>
      <c r="F35" s="39" t="s">
        <v>302</v>
      </c>
      <c r="G35" s="39" t="s">
        <v>303</v>
      </c>
      <c r="H35" s="39" t="s">
        <v>304</v>
      </c>
    </row>
    <row r="36" ht="43.5" customHeight="1">
      <c r="A36" s="38" t="s">
        <v>305</v>
      </c>
      <c r="B36" s="38" t="s">
        <v>31</v>
      </c>
      <c r="C36" s="38" t="s">
        <v>113</v>
      </c>
      <c r="D36" s="39" t="s">
        <v>306</v>
      </c>
      <c r="E36" s="39" t="s">
        <v>307</v>
      </c>
      <c r="F36" s="39" t="s">
        <v>308</v>
      </c>
      <c r="G36" s="39" t="s">
        <v>309</v>
      </c>
      <c r="H36" s="39" t="s">
        <v>310</v>
      </c>
    </row>
    <row r="37" ht="43.5" customHeight="1">
      <c r="A37" s="38" t="s">
        <v>311</v>
      </c>
      <c r="B37" s="38" t="s">
        <v>31</v>
      </c>
      <c r="C37" s="38" t="s">
        <v>113</v>
      </c>
      <c r="D37" s="39" t="s">
        <v>312</v>
      </c>
      <c r="E37" s="39" t="s">
        <v>313</v>
      </c>
      <c r="F37" s="39" t="s">
        <v>314</v>
      </c>
      <c r="G37" s="39" t="s">
        <v>315</v>
      </c>
      <c r="H37" s="39" t="s">
        <v>316</v>
      </c>
    </row>
    <row r="38" ht="43.5" customHeight="1">
      <c r="A38" s="38" t="s">
        <v>317</v>
      </c>
      <c r="B38" s="38" t="s">
        <v>31</v>
      </c>
      <c r="C38" s="38" t="s">
        <v>113</v>
      </c>
      <c r="D38" s="39" t="s">
        <v>318</v>
      </c>
      <c r="E38" s="39" t="s">
        <v>319</v>
      </c>
      <c r="F38" s="39" t="s">
        <v>320</v>
      </c>
      <c r="G38" s="39" t="s">
        <v>321</v>
      </c>
      <c r="H38" s="39" t="s">
        <v>322</v>
      </c>
    </row>
    <row r="39" ht="43.5" customHeight="1">
      <c r="A39" s="38" t="s">
        <v>323</v>
      </c>
      <c r="B39" s="38" t="s">
        <v>31</v>
      </c>
      <c r="C39" s="38" t="s">
        <v>113</v>
      </c>
      <c r="D39" s="39" t="s">
        <v>324</v>
      </c>
      <c r="E39" s="39" t="s">
        <v>325</v>
      </c>
      <c r="F39" s="39" t="s">
        <v>326</v>
      </c>
      <c r="G39" s="39" t="s">
        <v>327</v>
      </c>
      <c r="H39" s="39" t="s">
        <v>328</v>
      </c>
    </row>
    <row r="40" ht="43.5" customHeight="1">
      <c r="A40" s="38" t="s">
        <v>329</v>
      </c>
      <c r="B40" s="38" t="s">
        <v>32</v>
      </c>
      <c r="C40" s="38" t="s">
        <v>113</v>
      </c>
      <c r="D40" s="39" t="s">
        <v>330</v>
      </c>
      <c r="E40" s="39" t="s">
        <v>331</v>
      </c>
      <c r="F40" s="39" t="s">
        <v>332</v>
      </c>
      <c r="G40" s="39" t="s">
        <v>333</v>
      </c>
      <c r="H40" s="39" t="s">
        <v>334</v>
      </c>
    </row>
    <row r="41" ht="43.5" customHeight="1">
      <c r="A41" s="38" t="s">
        <v>335</v>
      </c>
      <c r="B41" s="38" t="s">
        <v>32</v>
      </c>
      <c r="C41" s="38" t="s">
        <v>113</v>
      </c>
      <c r="D41" s="39" t="s">
        <v>336</v>
      </c>
      <c r="E41" s="39" t="s">
        <v>337</v>
      </c>
      <c r="F41" s="39" t="s">
        <v>338</v>
      </c>
      <c r="G41" s="39" t="s">
        <v>339</v>
      </c>
      <c r="H41" s="39" t="s">
        <v>340</v>
      </c>
    </row>
    <row r="42" ht="43.5" customHeight="1">
      <c r="A42" s="38" t="s">
        <v>341</v>
      </c>
      <c r="B42" s="38" t="s">
        <v>32</v>
      </c>
      <c r="C42" s="38" t="s">
        <v>113</v>
      </c>
      <c r="D42" s="39" t="s">
        <v>342</v>
      </c>
      <c r="E42" s="39" t="s">
        <v>343</v>
      </c>
      <c r="F42" s="39" t="s">
        <v>344</v>
      </c>
      <c r="G42" s="39" t="s">
        <v>345</v>
      </c>
      <c r="H42" s="39" t="s">
        <v>346</v>
      </c>
    </row>
    <row r="43" ht="43.5" customHeight="1">
      <c r="A43" s="38" t="s">
        <v>347</v>
      </c>
      <c r="B43" s="38" t="s">
        <v>32</v>
      </c>
      <c r="C43" s="38" t="s">
        <v>113</v>
      </c>
      <c r="D43" s="39" t="s">
        <v>348</v>
      </c>
      <c r="E43" s="39" t="s">
        <v>349</v>
      </c>
      <c r="F43" s="39" t="s">
        <v>350</v>
      </c>
      <c r="G43" s="39" t="s">
        <v>351</v>
      </c>
      <c r="H43" s="39" t="s">
        <v>352</v>
      </c>
    </row>
    <row r="44" ht="43.5" customHeight="1">
      <c r="A44" s="38" t="s">
        <v>353</v>
      </c>
      <c r="B44" s="38" t="s">
        <v>33</v>
      </c>
      <c r="C44" s="38" t="s">
        <v>354</v>
      </c>
      <c r="D44" s="39" t="s">
        <v>355</v>
      </c>
      <c r="E44" s="39" t="s">
        <v>356</v>
      </c>
      <c r="F44" s="39" t="s">
        <v>357</v>
      </c>
      <c r="G44" s="39" t="s">
        <v>358</v>
      </c>
      <c r="H44" s="39" t="s">
        <v>359</v>
      </c>
    </row>
    <row r="45" ht="43.5" customHeight="1">
      <c r="A45" s="38" t="s">
        <v>360</v>
      </c>
      <c r="B45" s="38" t="s">
        <v>33</v>
      </c>
      <c r="C45" s="38" t="s">
        <v>354</v>
      </c>
      <c r="D45" s="39" t="s">
        <v>361</v>
      </c>
      <c r="E45" s="39" t="s">
        <v>362</v>
      </c>
      <c r="F45" s="39" t="s">
        <v>363</v>
      </c>
      <c r="G45" s="39" t="s">
        <v>364</v>
      </c>
      <c r="H45" s="39" t="s">
        <v>365</v>
      </c>
    </row>
    <row r="46" ht="43.5" customHeight="1">
      <c r="A46" s="38" t="s">
        <v>366</v>
      </c>
      <c r="B46" s="38" t="s">
        <v>33</v>
      </c>
      <c r="C46" s="38" t="s">
        <v>354</v>
      </c>
      <c r="D46" s="39" t="s">
        <v>367</v>
      </c>
      <c r="E46" s="39" t="s">
        <v>368</v>
      </c>
      <c r="F46" s="39" t="s">
        <v>369</v>
      </c>
      <c r="G46" s="39" t="s">
        <v>370</v>
      </c>
      <c r="H46" s="39" t="s">
        <v>371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printOptions/>
  <pageMargins bottom="0.75" footer="0.0" header="0.0" left="0.7" right="0.7" top="0.75"/>
  <pageSetup orientation="landscape"/>
  <drawing r:id="rId1"/>
</worksheet>
</file>